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utanixinc-my.sharepoint.com/personal/mario_sosa_nutanix_com/Documents/Documents/School/Redes/t2/"/>
    </mc:Choice>
  </mc:AlternateContent>
  <xr:revisionPtr revIDLastSave="694" documentId="8_{4A1BDE37-2189-49E2-BA35-4522EEA44568}" xr6:coauthVersionLast="47" xr6:coauthVersionMax="47" xr10:uidLastSave="{3E2CAFB9-E65A-4B73-817D-1CD47FBD76BA}"/>
  <bookViews>
    <workbookView xWindow="-108" yWindow="-108" windowWidth="30936" windowHeight="18696" xr2:uid="{D09C69F6-CA2B-4109-AA83-5866FCD7F6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4" i="1" l="1"/>
  <c r="F30" i="1"/>
  <c r="F31" i="1"/>
  <c r="F32" i="1"/>
  <c r="F33" i="1"/>
  <c r="F35" i="1"/>
  <c r="F36" i="1"/>
  <c r="F37" i="1"/>
  <c r="F38" i="1"/>
  <c r="F39" i="1"/>
  <c r="F40" i="1"/>
  <c r="F41" i="1"/>
  <c r="F42" i="1"/>
  <c r="F43" i="1"/>
  <c r="F44" i="1"/>
  <c r="F29" i="1"/>
  <c r="F45" i="1"/>
  <c r="F46" i="1"/>
  <c r="F47" i="1"/>
  <c r="F48" i="1"/>
  <c r="F49" i="1"/>
  <c r="F50" i="1"/>
  <c r="F51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</calcChain>
</file>

<file path=xl/sharedStrings.xml><?xml version="1.0" encoding="utf-8"?>
<sst xmlns="http://schemas.openxmlformats.org/spreadsheetml/2006/main" count="258" uniqueCount="183">
  <si>
    <t>VLSM</t>
  </si>
  <si>
    <t>Acomodar de mayor a menor el # de hosts</t>
  </si>
  <si>
    <t>Sumar +2 a cada red por IP de segmento e IP de broadcast</t>
  </si>
  <si>
    <t>Se necesita el segmento a particionar, las redes y # hosts</t>
  </si>
  <si>
    <t>Segmento de Red:</t>
  </si>
  <si>
    <t>ENALLT</t>
  </si>
  <si>
    <t>Artes y Diseño</t>
  </si>
  <si>
    <t>Odontología</t>
  </si>
  <si>
    <t>Medicina</t>
  </si>
  <si>
    <t>Contaduría y Administración</t>
  </si>
  <si>
    <t>Filosofía y Letras</t>
  </si>
  <si>
    <t>Química</t>
  </si>
  <si>
    <t>Psicología</t>
  </si>
  <si>
    <t>Ciencias</t>
  </si>
  <si>
    <t>Derecho</t>
  </si>
  <si>
    <t>Economía</t>
  </si>
  <si>
    <t>Ingeniería</t>
  </si>
  <si>
    <t>Arquitectura</t>
  </si>
  <si>
    <t>Ciencias Políticas</t>
  </si>
  <si>
    <t>Veterinaria</t>
  </si>
  <si>
    <t>Subred</t>
  </si>
  <si>
    <t># hosts</t>
  </si>
  <si>
    <t>mas 2</t>
  </si>
  <si>
    <t>Binario</t>
  </si>
  <si>
    <t>Host</t>
  </si>
  <si>
    <t>…</t>
  </si>
  <si>
    <t>IP Segmento</t>
  </si>
  <si>
    <t>Rango IP</t>
  </si>
  <si>
    <t>IP Broadcast</t>
  </si>
  <si>
    <t>Mascara</t>
  </si>
  <si>
    <t>Red</t>
  </si>
  <si>
    <t>10.0.127.255</t>
  </si>
  <si>
    <t>10.0.0.1 - 10.0.127.254</t>
  </si>
  <si>
    <t>10.0.0.0/17</t>
  </si>
  <si>
    <t>255.255.128.0</t>
  </si>
  <si>
    <t>10.0.128.0/17</t>
  </si>
  <si>
    <t>10.0.128.1 - 10.0.255.254</t>
  </si>
  <si>
    <t>10.0.255.255</t>
  </si>
  <si>
    <t>10.1.63.255</t>
  </si>
  <si>
    <t>10.1.127.255</t>
  </si>
  <si>
    <t>10.1.191.255</t>
  </si>
  <si>
    <t>10.1.255.255</t>
  </si>
  <si>
    <t>10.2.63.255</t>
  </si>
  <si>
    <t>10.2.95.255</t>
  </si>
  <si>
    <t>10.2.127.255</t>
  </si>
  <si>
    <t>10.2.159.255</t>
  </si>
  <si>
    <t>10.2.191.255</t>
  </si>
  <si>
    <t>10.2.207.255</t>
  </si>
  <si>
    <t>10.2.223.255</t>
  </si>
  <si>
    <t>10.2.239.255</t>
  </si>
  <si>
    <t>10.2.241.255</t>
  </si>
  <si>
    <t>10.1.0.0/18</t>
  </si>
  <si>
    <t>255.255.192.0</t>
  </si>
  <si>
    <t>10.1.0.1 - 10.1.63.254</t>
  </si>
  <si>
    <t>10.1.64.0/18</t>
  </si>
  <si>
    <t>10.1.64.1 - 10.1.127.254</t>
  </si>
  <si>
    <t>10.1.128.0/18</t>
  </si>
  <si>
    <t>10.1.128.1 - 10.1.191.254</t>
  </si>
  <si>
    <t>10.1.192.0/18</t>
  </si>
  <si>
    <t>10.1.192.1 - 10.1.255.254</t>
  </si>
  <si>
    <t>10.2.0.0/18</t>
  </si>
  <si>
    <t>255.255.224.0</t>
  </si>
  <si>
    <t>10.2.64.0/19</t>
  </si>
  <si>
    <t>10.2.0.1 - 10.2.63.254</t>
  </si>
  <si>
    <t>10.2.64.1 - 10.2.95.254</t>
  </si>
  <si>
    <t>10.2.96.0/19</t>
  </si>
  <si>
    <t>10.2.96.1 - 10.2.127.254</t>
  </si>
  <si>
    <t>10.2.128.0/19</t>
  </si>
  <si>
    <t>10.2.160.0/19</t>
  </si>
  <si>
    <t>10.2.160.1 - 10.2.191.254</t>
  </si>
  <si>
    <t>255.255.240.0</t>
  </si>
  <si>
    <t>10.2.192.0/20</t>
  </si>
  <si>
    <t>10.2.192.1 - 10.2.207.254</t>
  </si>
  <si>
    <t>10.2.208.0/20</t>
  </si>
  <si>
    <t>10.2.208.1 - 10.2.223.254</t>
  </si>
  <si>
    <t>10.2.224.0/20</t>
  </si>
  <si>
    <t>10.2.224 .1 - 10.2.239.254</t>
  </si>
  <si>
    <t>10.2.240.0/23</t>
  </si>
  <si>
    <t>255.255.254.0</t>
  </si>
  <si>
    <t>10.2.240.1 - 10.2.241.254</t>
  </si>
  <si>
    <t>10.2.128.1 - 10.2.159.254</t>
  </si>
  <si>
    <t>Edificio</t>
  </si>
  <si>
    <t>Hosts</t>
  </si>
  <si>
    <t>Biología A y B</t>
  </si>
  <si>
    <t>Física</t>
  </si>
  <si>
    <t>Matemáticas</t>
  </si>
  <si>
    <t>Poniente</t>
  </si>
  <si>
    <t>Oriente</t>
  </si>
  <si>
    <t>Tlahuizcalpan</t>
  </si>
  <si>
    <t>Amoxcalli</t>
  </si>
  <si>
    <t>Ex Biblioteca</t>
  </si>
  <si>
    <t>Yelizcalli</t>
  </si>
  <si>
    <t>Talleres</t>
  </si>
  <si>
    <t>Tlatipac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</si>
  <si>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</si>
  <si>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</si>
  <si>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</si>
  <si>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</si>
  <si>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</si>
  <si>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</si>
  <si>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</si>
  <si>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</si>
  <si>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</si>
  <si>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</si>
  <si>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</si>
  <si>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</si>
  <si>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Mas 2</t>
  </si>
  <si>
    <t>172.24.0.0/16</t>
  </si>
  <si>
    <t xml:space="preserve">10.0.0.0/8 </t>
  </si>
  <si>
    <t>172.24.0.0/19</t>
  </si>
  <si>
    <t>172.24.31.255</t>
  </si>
  <si>
    <t>172.24.0.1 - 172.24.31.254</t>
  </si>
  <si>
    <t>172.24.32.0/20</t>
  </si>
  <si>
    <t>172.24.47.255</t>
  </si>
  <si>
    <t>172.24.32.1 - 172.24.47.254</t>
  </si>
  <si>
    <t>172.24.63.255</t>
  </si>
  <si>
    <t>172.24.48.0/20</t>
  </si>
  <si>
    <t>172.24.48.1 - 172.24.63.254</t>
  </si>
  <si>
    <t>172.24.64.0/20</t>
  </si>
  <si>
    <t>172.24.64.1 - 172.24.79.254</t>
  </si>
  <si>
    <t>172.24.79.255</t>
  </si>
  <si>
    <t>172.24.80.0/20</t>
  </si>
  <si>
    <t>172.24.80.1 - 172.24.95.254</t>
  </si>
  <si>
    <t>172.24.95.255</t>
  </si>
  <si>
    <t>172.24.96.0/21</t>
  </si>
  <si>
    <t>255.255.248.0</t>
  </si>
  <si>
    <t>172.24.96.1 - 172.24.103.254</t>
  </si>
  <si>
    <t>172.24.103.255</t>
  </si>
  <si>
    <t>172.24.104.0/22</t>
  </si>
  <si>
    <t>255.255.252.0</t>
  </si>
  <si>
    <t>172.24.104.1 - 172.24.107.254</t>
  </si>
  <si>
    <t>172.24.107.255</t>
  </si>
  <si>
    <t>172.24.108.0/22</t>
  </si>
  <si>
    <t>172.24.108.1 - 172.24.111.254</t>
  </si>
  <si>
    <t>172.24.111.255</t>
  </si>
  <si>
    <t>172.24.112.0/22</t>
  </si>
  <si>
    <t>172.24.112.1 - 172.24.115.254</t>
  </si>
  <si>
    <t>172.24.115.255</t>
  </si>
  <si>
    <t>172.24.116.0/23</t>
  </si>
  <si>
    <t>172.24.116.1 - 172.24.117.254</t>
  </si>
  <si>
    <t>172.24.117.255</t>
  </si>
  <si>
    <t>172.24.118.0/25</t>
  </si>
  <si>
    <t>255.255.255.128</t>
  </si>
  <si>
    <t>172.24.118.1 - 172.24.118.126</t>
  </si>
  <si>
    <t>172.24.118.127</t>
  </si>
  <si>
    <t>172.24.118.128/29</t>
  </si>
  <si>
    <t>255.255.255.248</t>
  </si>
  <si>
    <t>172.24.118.129 - 172.24.118.134</t>
  </si>
  <si>
    <t>172.24.118.135</t>
  </si>
  <si>
    <t>172.24.118.136/29</t>
  </si>
  <si>
    <t>172.24.118.137 - 172.24.118.142</t>
  </si>
  <si>
    <t>172.24.118.143</t>
  </si>
  <si>
    <t>172.24.118.144/29</t>
  </si>
  <si>
    <t>172.24.118.145 - 172.24.118.150</t>
  </si>
  <si>
    <t>172.24.118.151</t>
  </si>
  <si>
    <t>172.24.118.152/29</t>
  </si>
  <si>
    <t>172.24.118.153 - 172.24.118.158</t>
  </si>
  <si>
    <t>172.24.118.159</t>
  </si>
  <si>
    <t>172.24.118.160/29</t>
  </si>
  <si>
    <t>172.24.118.161 - 172.24.118.166</t>
  </si>
  <si>
    <t>172.24.118.167</t>
  </si>
  <si>
    <t>172.24.118.168/29</t>
  </si>
  <si>
    <t>172.24.118.169 - 172.24.118.174</t>
  </si>
  <si>
    <t>172.24.118.175</t>
  </si>
  <si>
    <t>172.24.118.176/29</t>
  </si>
  <si>
    <t>172.24.118.177 - 172.24.118.182</t>
  </si>
  <si>
    <t>172.24.118.183</t>
  </si>
  <si>
    <t>172.24.118.184/29</t>
  </si>
  <si>
    <t>172.24.118.185 - 172.24.118.190</t>
  </si>
  <si>
    <t>172.24.118.191</t>
  </si>
  <si>
    <t>172.24.118.192/29</t>
  </si>
  <si>
    <t>172.24.118.193 - 172.24.118.198</t>
  </si>
  <si>
    <t>172.24.118.199</t>
  </si>
  <si>
    <t>172.24.118.200/29</t>
  </si>
  <si>
    <t>172.24.118.201 - 172.24.118.206</t>
  </si>
  <si>
    <t>172.24.118.207</t>
  </si>
  <si>
    <t>172.24.118.208/29</t>
  </si>
  <si>
    <t>172.24.118.209 - 172.24.118.214</t>
  </si>
  <si>
    <t>172.24.118.215</t>
  </si>
  <si>
    <t>172.24.118.216/29</t>
  </si>
  <si>
    <t>172.24.118.217 - 172.24.118.222</t>
  </si>
  <si>
    <t>172.24.118.223</t>
  </si>
  <si>
    <t>Juan Mario Sosa Romo 4/7/26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</si>
</sst>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theme="4" tint="0.7999816888943144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2" borderId="1" xfId="0" applyFont="1" applyFill="1" applyBorder="1"/>
    <xf numFmtId="0" fontId="1" fillId="3" borderId="1" xfId="0" applyFont="1" applyFill="1" applyBorder="1"/>
    <xf numFmtId="0" fontId="0" fillId="0" borderId="3" xfId="0" applyBorder="1"/>
    <xf numFmtId="0" fontId="0" fillId="4" borderId="3" xfId="0" applyFill="1" applyBorder="1"/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5" borderId="3" xfId="0" applyFill="1" applyBorder="1"/>
    <xf numFmtId="0" fontId="0" fillId="5" borderId="0" xfId="0" applyFill="1" applyAlignment="1">
      <alignment horizontal="center" vertical="center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6" borderId="3" xfId="0" applyFill="1" applyBorder="1"/>
    <xf numFmtId="0" fontId="0" fillId="7" borderId="2" xfId="0" applyFont="1" applyFill="1" applyBorder="1"/>
    <xf numFmtId="0" fontId="0" fillId="6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8" borderId="3" xfId="0" applyFill="1" applyBorder="1"/>
    <xf numFmtId="0" fontId="0" fillId="9" borderId="0" xfId="0" applyFill="1" applyAlignment="1">
      <alignment horizontal="center" vertical="center"/>
    </xf>
    <xf numFmtId="0" fontId="0" fillId="9" borderId="3" xfId="0" applyFill="1" applyBorder="1"/>
    <xf numFmtId="0" fontId="0" fillId="10" borderId="0" xfId="0" applyFill="1" applyAlignment="1">
      <alignment horizontal="center" vertical="center"/>
    </xf>
    <xf numFmtId="0" fontId="0" fillId="10" borderId="3" xfId="0" applyFill="1" applyBorder="1"/>
    <xf numFmtId="0" fontId="0" fillId="11" borderId="3" xfId="0" applyFill="1" applyBorder="1"/>
    <xf numFmtId="0" fontId="0" fillId="11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2" borderId="3" xfId="0" applyFill="1" applyBorder="1"/>
    <xf numFmtId="0" fontId="0" fillId="0" borderId="4" xfId="0" applyBorder="1"/>
    <xf numFmtId="0" fontId="0" fillId="10" borderId="4" xfId="0" applyFill="1" applyBorder="1"/>
    <xf numFmtId="0" fontId="0" fillId="0" borderId="0" xfId="0" applyBorder="1"/>
    <xf numFmtId="0" fontId="0" fillId="0" borderId="5" xfId="0" applyBorder="1"/>
    <xf numFmtId="0" fontId="0" fillId="0" borderId="3" xfId="0" applyFill="1" applyBorder="1"/>
    <xf numFmtId="0" fontId="0" fillId="0" borderId="0" xfId="0" applyFill="1" applyBorder="1"/>
    <xf numFmtId="0" fontId="0" fillId="7" borderId="2" xfId="0" applyFont="1" applyFill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AFACFB-0F65-485E-8A64-158E767306EB}" name="Table1" displayName="Table1" ref="B3:B6" totalsRowShown="0">
  <autoFilter ref="B3:B6" xr:uid="{EBAFACFB-0F65-485E-8A64-158E767306EB}"/>
  <tableColumns count="1">
    <tableColumn id="1" xr3:uid="{5E022047-595F-44C2-A0A8-3B2532F8403A}" name="VLS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4F6B8D9-6491-4C09-8018-0106E5979985}" name="Table4" displayName="Table4" ref="D6:F21" totalsRowShown="0">
  <autoFilter ref="D6:F21" xr:uid="{84F6B8D9-6491-4C09-8018-0106E5979985}"/>
  <sortState xmlns:xlrd2="http://schemas.microsoft.com/office/spreadsheetml/2017/richdata2" ref="D7:E21">
    <sortCondition descending="1" ref="E6:E21"/>
  </sortState>
  <tableColumns count="3">
    <tableColumn id="1" xr3:uid="{55984BC2-7546-48C8-BC3A-2A16BCCCB772}" name="Subred"/>
    <tableColumn id="2" xr3:uid="{21098CC1-39B4-47F7-9E79-C0D5045DBA79}" name="# hosts"/>
    <tableColumn id="3" xr3:uid="{B55CAEFF-5D78-4222-BF44-3F2B997A2ED9}" name="mas 2" dataDxfId="1">
      <calculatedColumnFormula>Table4[[#This Row],['# hosts]]+2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5851BA5-2009-468A-9D36-0CD7F8C57D3A}" name="Table2" displayName="Table2" ref="D28:F51" totalsRowShown="0">
  <autoFilter ref="D28:F51" xr:uid="{E5851BA5-2009-468A-9D36-0CD7F8C57D3A}"/>
  <sortState xmlns:xlrd2="http://schemas.microsoft.com/office/spreadsheetml/2017/richdata2" ref="D29:F51">
    <sortCondition descending="1" ref="E28:E51"/>
  </sortState>
  <tableColumns count="3">
    <tableColumn id="1" xr3:uid="{F9FEEC03-230A-46C3-AE7A-EB450264CBCB}" name="Edificio"/>
    <tableColumn id="2" xr3:uid="{169B71E2-D1B6-416C-BF02-6D232A001902}" name="Hosts"/>
    <tableColumn id="3" xr3:uid="{60C44169-824B-4442-993A-D17A433533AA}" name="Mas 2" dataDxfId="0">
      <calculatedColumnFormula>Table2[[#This Row],[Hosts]]+2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D9113-86CB-45E6-9F1F-F4DB3167F046}">
  <dimension ref="B3:AO51"/>
  <sheetViews>
    <sheetView tabSelected="1" zoomScale="130" zoomScaleNormal="130" workbookViewId="0">
      <selection activeCell="B13" sqref="B13"/>
    </sheetView>
  </sheetViews>
  <sheetFormatPr defaultRowHeight="14.4" x14ac:dyDescent="0.3"/>
  <cols>
    <col min="2" max="2" width="48.33203125" bestFit="1" customWidth="1"/>
    <col min="4" max="4" width="24" bestFit="1" customWidth="1"/>
    <col min="5" max="5" width="10" customWidth="1"/>
    <col min="9" max="9" width="3" bestFit="1" customWidth="1"/>
    <col min="10" max="10" width="4" bestFit="1" customWidth="1"/>
    <col min="11" max="13" width="3" bestFit="1" customWidth="1"/>
    <col min="14" max="15" width="2" bestFit="1" customWidth="1"/>
    <col min="16" max="16" width="4" bestFit="1" customWidth="1"/>
    <col min="17" max="20" width="6" bestFit="1" customWidth="1"/>
    <col min="21" max="24" width="5" bestFit="1" customWidth="1"/>
    <col min="25" max="27" width="4" bestFit="1" customWidth="1"/>
    <col min="28" max="30" width="3" bestFit="1" customWidth="1"/>
    <col min="31" max="33" width="2" bestFit="1" customWidth="1"/>
    <col min="34" max="34" width="8.33203125" bestFit="1" customWidth="1"/>
    <col min="36" max="36" width="24" style="5" bestFit="1" customWidth="1"/>
    <col min="37" max="37" width="16.44140625" style="5" bestFit="1" customWidth="1"/>
    <col min="38" max="38" width="15.33203125" style="5" customWidth="1"/>
    <col min="39" max="39" width="28.109375" style="5" bestFit="1" customWidth="1"/>
    <col min="40" max="40" width="15.33203125" style="5" customWidth="1"/>
    <col min="41" max="41" width="14.21875" customWidth="1"/>
    <col min="42" max="42" width="15.33203125" customWidth="1"/>
  </cols>
  <sheetData>
    <row r="3" spans="2:40" x14ac:dyDescent="0.3">
      <c r="B3" t="s">
        <v>0</v>
      </c>
      <c r="D3" s="2" t="s">
        <v>4</v>
      </c>
      <c r="I3" s="3"/>
      <c r="J3" s="3">
        <v>128</v>
      </c>
      <c r="K3" s="3">
        <v>64</v>
      </c>
      <c r="L3" s="3">
        <v>32</v>
      </c>
      <c r="M3" s="3">
        <v>16</v>
      </c>
      <c r="N3" s="3">
        <v>8</v>
      </c>
      <c r="O3" s="3">
        <v>4</v>
      </c>
      <c r="P3" s="3">
        <v>2</v>
      </c>
      <c r="Q3" s="3">
        <v>1</v>
      </c>
      <c r="R3" s="3">
        <v>128</v>
      </c>
      <c r="S3" s="3">
        <v>64</v>
      </c>
      <c r="T3" s="3">
        <v>32</v>
      </c>
      <c r="U3" s="3">
        <v>16</v>
      </c>
      <c r="V3" s="3">
        <v>8</v>
      </c>
      <c r="W3" s="3">
        <v>4</v>
      </c>
      <c r="X3" s="3">
        <v>2</v>
      </c>
      <c r="Y3" s="3">
        <v>1</v>
      </c>
      <c r="Z3" s="3">
        <v>128</v>
      </c>
      <c r="AA3" s="3">
        <v>64</v>
      </c>
      <c r="AB3" s="3">
        <v>32</v>
      </c>
      <c r="AC3" s="3">
        <v>16</v>
      </c>
      <c r="AD3" s="3">
        <v>8</v>
      </c>
      <c r="AE3" s="3">
        <v>4</v>
      </c>
      <c r="AF3" s="3">
        <v>2</v>
      </c>
      <c r="AG3" s="3">
        <v>1</v>
      </c>
      <c r="AH3" s="3" t="s">
        <v>23</v>
      </c>
    </row>
    <row r="4" spans="2:40" ht="15.6" x14ac:dyDescent="0.3">
      <c r="B4" t="s">
        <v>1</v>
      </c>
      <c r="D4" s="1" t="s">
        <v>108</v>
      </c>
      <c r="I4" s="3"/>
      <c r="J4" s="3"/>
      <c r="K4" s="3"/>
      <c r="L4" s="3"/>
      <c r="M4" s="3"/>
      <c r="N4" s="3"/>
      <c r="O4" s="3"/>
      <c r="P4" s="3"/>
      <c r="Q4" s="3" t="s">
        <v>25</v>
      </c>
      <c r="R4" s="3">
        <v>65536</v>
      </c>
      <c r="S4" s="3">
        <v>32768</v>
      </c>
      <c r="T4" s="3">
        <v>16384</v>
      </c>
      <c r="U4" s="3">
        <v>8192</v>
      </c>
      <c r="V4" s="3">
        <v>4096</v>
      </c>
      <c r="W4" s="3">
        <v>2048</v>
      </c>
      <c r="X4" s="3">
        <v>1024</v>
      </c>
      <c r="Y4" s="3">
        <v>512</v>
      </c>
      <c r="Z4" s="3">
        <v>256</v>
      </c>
      <c r="AA4" s="3">
        <v>128</v>
      </c>
      <c r="AB4" s="3">
        <v>64</v>
      </c>
      <c r="AC4" s="3">
        <v>32</v>
      </c>
      <c r="AD4" s="3">
        <v>16</v>
      </c>
      <c r="AE4" s="3">
        <v>8</v>
      </c>
      <c r="AF4" s="3">
        <v>4</v>
      </c>
      <c r="AG4" s="3">
        <v>2</v>
      </c>
      <c r="AH4" s="3" t="s">
        <v>24</v>
      </c>
      <c r="AJ4" s="7" t="s">
        <v>30</v>
      </c>
      <c r="AK4" s="7" t="s">
        <v>26</v>
      </c>
      <c r="AL4" s="7" t="s">
        <v>29</v>
      </c>
      <c r="AM4" s="7" t="s">
        <v>27</v>
      </c>
      <c r="AN4" s="7" t="s">
        <v>28</v>
      </c>
    </row>
    <row r="5" spans="2:40" x14ac:dyDescent="0.3">
      <c r="B5" t="s">
        <v>2</v>
      </c>
      <c r="I5" s="3">
        <v>10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4">
        <v>1</v>
      </c>
      <c r="T5" s="4">
        <v>1</v>
      </c>
      <c r="U5" s="4">
        <v>1</v>
      </c>
      <c r="V5" s="4">
        <v>1</v>
      </c>
      <c r="W5" s="4">
        <v>1</v>
      </c>
      <c r="X5" s="4">
        <v>1</v>
      </c>
      <c r="Y5" s="4">
        <v>1</v>
      </c>
      <c r="Z5" s="4">
        <v>1</v>
      </c>
      <c r="AA5" s="4">
        <v>1</v>
      </c>
      <c r="AB5" s="4">
        <v>1</v>
      </c>
      <c r="AC5" s="4">
        <v>1</v>
      </c>
      <c r="AD5" s="4">
        <v>1</v>
      </c>
      <c r="AE5" s="4">
        <v>1</v>
      </c>
      <c r="AF5" s="4">
        <v>1</v>
      </c>
      <c r="AG5" s="4">
        <v>1</v>
      </c>
      <c r="AH5" s="4"/>
      <c r="AJ5" s="6" t="s">
        <v>8</v>
      </c>
      <c r="AK5" s="6" t="s">
        <v>33</v>
      </c>
      <c r="AL5" s="6" t="s">
        <v>34</v>
      </c>
      <c r="AM5" s="6" t="s">
        <v>32</v>
      </c>
      <c r="AN5" s="6" t="s">
        <v>31</v>
      </c>
    </row>
    <row r="6" spans="2:40" x14ac:dyDescent="0.3">
      <c r="B6" t="s">
        <v>3</v>
      </c>
      <c r="D6" t="s">
        <v>20</v>
      </c>
      <c r="E6" t="s">
        <v>21</v>
      </c>
      <c r="F6" t="s">
        <v>22</v>
      </c>
      <c r="I6" s="3">
        <v>10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8">
        <v>1</v>
      </c>
      <c r="T6" s="8">
        <v>1</v>
      </c>
      <c r="U6" s="8">
        <v>1</v>
      </c>
      <c r="V6" s="8">
        <v>1</v>
      </c>
      <c r="W6" s="8">
        <v>1</v>
      </c>
      <c r="X6" s="8">
        <v>1</v>
      </c>
      <c r="Y6" s="8">
        <v>1</v>
      </c>
      <c r="Z6" s="8">
        <v>1</v>
      </c>
      <c r="AA6" s="8">
        <v>1</v>
      </c>
      <c r="AB6" s="8">
        <v>1</v>
      </c>
      <c r="AC6" s="8">
        <v>1</v>
      </c>
      <c r="AD6" s="8">
        <v>1</v>
      </c>
      <c r="AE6" s="8">
        <v>1</v>
      </c>
      <c r="AF6" s="8">
        <v>1</v>
      </c>
      <c r="AG6" s="8">
        <v>1</v>
      </c>
      <c r="AH6" s="8"/>
      <c r="AJ6" s="9" t="s">
        <v>14</v>
      </c>
      <c r="AK6" s="9" t="s">
        <v>35</v>
      </c>
      <c r="AL6" s="9" t="s">
        <v>34</v>
      </c>
      <c r="AM6" s="9" t="s">
        <v>36</v>
      </c>
      <c r="AN6" s="9" t="s">
        <v>37</v>
      </c>
    </row>
    <row r="7" spans="2:40" x14ac:dyDescent="0.3">
      <c r="D7" t="s">
        <v>8</v>
      </c>
      <c r="E7">
        <v>27949</v>
      </c>
      <c r="F7">
        <f>Table4[[#This Row],['# hosts]]+2</f>
        <v>27951</v>
      </c>
      <c r="G7" s="10" t="b">
        <v>1</v>
      </c>
      <c r="I7" s="3">
        <v>10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11">
        <v>1</v>
      </c>
      <c r="U7" s="11">
        <v>1</v>
      </c>
      <c r="V7" s="11">
        <v>1</v>
      </c>
      <c r="W7" s="11">
        <v>1</v>
      </c>
      <c r="X7" s="11">
        <v>1</v>
      </c>
      <c r="Y7" s="11">
        <v>1</v>
      </c>
      <c r="Z7" s="11">
        <v>1</v>
      </c>
      <c r="AA7" s="11">
        <v>1</v>
      </c>
      <c r="AB7" s="11">
        <v>1</v>
      </c>
      <c r="AC7" s="11">
        <v>1</v>
      </c>
      <c r="AD7" s="11">
        <v>1</v>
      </c>
      <c r="AE7" s="11">
        <v>1</v>
      </c>
      <c r="AF7" s="11">
        <v>1</v>
      </c>
      <c r="AG7" s="11">
        <v>1</v>
      </c>
      <c r="AH7" s="11"/>
      <c r="AJ7" s="12" t="s">
        <v>9</v>
      </c>
      <c r="AK7" s="13" t="s">
        <v>51</v>
      </c>
      <c r="AL7" s="13" t="s">
        <v>52</v>
      </c>
      <c r="AM7" s="13" t="s">
        <v>53</v>
      </c>
      <c r="AN7" s="13" t="s">
        <v>38</v>
      </c>
    </row>
    <row r="8" spans="2:40" x14ac:dyDescent="0.3">
      <c r="B8" s="31" t="s">
        <v>182</v>
      </c>
      <c r="D8" t="s">
        <v>14</v>
      </c>
      <c r="E8">
        <v>17800</v>
      </c>
      <c r="F8">
        <f>Table4[[#This Row],['# hosts]]+2</f>
        <v>17802</v>
      </c>
      <c r="G8" s="10" t="b">
        <v>1</v>
      </c>
      <c r="I8" s="3">
        <v>10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15">
        <v>1</v>
      </c>
      <c r="U8" s="15">
        <v>1</v>
      </c>
      <c r="V8" s="15">
        <v>1</v>
      </c>
      <c r="W8" s="15">
        <v>1</v>
      </c>
      <c r="X8" s="15">
        <v>1</v>
      </c>
      <c r="Y8" s="15">
        <v>1</v>
      </c>
      <c r="Z8" s="15">
        <v>1</v>
      </c>
      <c r="AA8" s="15">
        <v>1</v>
      </c>
      <c r="AB8" s="15">
        <v>1</v>
      </c>
      <c r="AC8" s="15">
        <v>1</v>
      </c>
      <c r="AD8" s="15">
        <v>1</v>
      </c>
      <c r="AE8" s="15">
        <v>1</v>
      </c>
      <c r="AF8" s="15">
        <v>1</v>
      </c>
      <c r="AG8" s="15">
        <v>1</v>
      </c>
      <c r="AH8" s="15"/>
      <c r="AJ8" s="14" t="s">
        <v>18</v>
      </c>
      <c r="AK8" s="14" t="s">
        <v>54</v>
      </c>
      <c r="AL8" s="14" t="s">
        <v>52</v>
      </c>
      <c r="AM8" s="14" t="s">
        <v>55</v>
      </c>
      <c r="AN8" s="14" t="s">
        <v>39</v>
      </c>
    </row>
    <row r="9" spans="2:40" x14ac:dyDescent="0.3">
      <c r="D9" t="s">
        <v>9</v>
      </c>
      <c r="E9">
        <v>16257</v>
      </c>
      <c r="F9">
        <f>Table4[[#This Row],['# hosts]]+2</f>
        <v>16259</v>
      </c>
      <c r="G9" s="10" t="b">
        <v>1</v>
      </c>
      <c r="I9" s="3">
        <v>10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8">
        <v>1</v>
      </c>
      <c r="U9" s="8">
        <v>1</v>
      </c>
      <c r="V9" s="8">
        <v>1</v>
      </c>
      <c r="W9" s="8">
        <v>1</v>
      </c>
      <c r="X9" s="8">
        <v>1</v>
      </c>
      <c r="Y9" s="8">
        <v>1</v>
      </c>
      <c r="Z9" s="8">
        <v>1</v>
      </c>
      <c r="AA9" s="8">
        <v>1</v>
      </c>
      <c r="AB9" s="8">
        <v>1</v>
      </c>
      <c r="AC9" s="8">
        <v>1</v>
      </c>
      <c r="AD9" s="8">
        <v>1</v>
      </c>
      <c r="AE9" s="8">
        <v>1</v>
      </c>
      <c r="AF9" s="8">
        <v>1</v>
      </c>
      <c r="AG9" s="8">
        <v>1</v>
      </c>
      <c r="AH9" s="8"/>
      <c r="AJ9" s="9" t="s">
        <v>16</v>
      </c>
      <c r="AK9" s="9" t="s">
        <v>56</v>
      </c>
      <c r="AL9" s="9" t="s">
        <v>52</v>
      </c>
      <c r="AM9" s="9" t="s">
        <v>57</v>
      </c>
      <c r="AN9" s="9" t="s">
        <v>40</v>
      </c>
    </row>
    <row r="10" spans="2:40" x14ac:dyDescent="0.3">
      <c r="D10" t="s">
        <v>18</v>
      </c>
      <c r="E10">
        <v>12887</v>
      </c>
      <c r="F10">
        <f>Table4[[#This Row],['# hosts]]+2</f>
        <v>12889</v>
      </c>
      <c r="G10" s="10" t="b">
        <v>1</v>
      </c>
      <c r="I10" s="3">
        <v>10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17">
        <v>1</v>
      </c>
      <c r="U10" s="17">
        <v>1</v>
      </c>
      <c r="V10" s="17">
        <v>1</v>
      </c>
      <c r="W10" s="17">
        <v>1</v>
      </c>
      <c r="X10" s="17">
        <v>1</v>
      </c>
      <c r="Y10" s="17">
        <v>1</v>
      </c>
      <c r="Z10" s="17">
        <v>1</v>
      </c>
      <c r="AA10" s="17">
        <v>1</v>
      </c>
      <c r="AB10" s="17">
        <v>1</v>
      </c>
      <c r="AC10" s="17">
        <v>1</v>
      </c>
      <c r="AD10" s="17">
        <v>1</v>
      </c>
      <c r="AE10" s="17">
        <v>1</v>
      </c>
      <c r="AF10" s="17">
        <v>1</v>
      </c>
      <c r="AG10" s="17">
        <v>1</v>
      </c>
      <c r="AH10" s="17"/>
      <c r="AJ10" s="16" t="s">
        <v>13</v>
      </c>
      <c r="AK10" s="16" t="s">
        <v>58</v>
      </c>
      <c r="AL10" s="16" t="s">
        <v>52</v>
      </c>
      <c r="AM10" s="16" t="s">
        <v>59</v>
      </c>
      <c r="AN10" s="16" t="s">
        <v>41</v>
      </c>
    </row>
    <row r="11" spans="2:40" x14ac:dyDescent="0.3">
      <c r="D11" t="s">
        <v>16</v>
      </c>
      <c r="E11">
        <v>12500</v>
      </c>
      <c r="F11">
        <f>Table4[[#This Row],['# hosts]]+2</f>
        <v>12502</v>
      </c>
      <c r="G11" s="10" t="b">
        <v>1</v>
      </c>
      <c r="I11" s="3">
        <v>10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19">
        <v>1</v>
      </c>
      <c r="U11" s="19">
        <v>1</v>
      </c>
      <c r="V11" s="19">
        <v>1</v>
      </c>
      <c r="W11" s="19">
        <v>1</v>
      </c>
      <c r="X11" s="19">
        <v>1</v>
      </c>
      <c r="Y11" s="19">
        <v>1</v>
      </c>
      <c r="Z11" s="19">
        <v>1</v>
      </c>
      <c r="AA11" s="19">
        <v>1</v>
      </c>
      <c r="AB11" s="19">
        <v>1</v>
      </c>
      <c r="AC11" s="19">
        <v>1</v>
      </c>
      <c r="AD11" s="19">
        <v>1</v>
      </c>
      <c r="AE11" s="19">
        <v>1</v>
      </c>
      <c r="AF11" s="19">
        <v>1</v>
      </c>
      <c r="AG11" s="19">
        <v>1</v>
      </c>
      <c r="AH11" s="19"/>
      <c r="AJ11" s="18" t="s">
        <v>10</v>
      </c>
      <c r="AK11" s="18" t="s">
        <v>60</v>
      </c>
      <c r="AL11" s="18" t="s">
        <v>52</v>
      </c>
      <c r="AM11" s="18" t="s">
        <v>63</v>
      </c>
      <c r="AN11" s="18" t="s">
        <v>42</v>
      </c>
    </row>
    <row r="12" spans="2:40" x14ac:dyDescent="0.3">
      <c r="D12" t="s">
        <v>13</v>
      </c>
      <c r="E12">
        <v>11000</v>
      </c>
      <c r="F12">
        <f>Table4[[#This Row],['# hosts]]+2</f>
        <v>11002</v>
      </c>
      <c r="G12" s="10" t="b">
        <v>1</v>
      </c>
      <c r="I12" s="3">
        <v>10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20">
        <v>1</v>
      </c>
      <c r="V12" s="20">
        <v>1</v>
      </c>
      <c r="W12" s="20">
        <v>1</v>
      </c>
      <c r="X12" s="20">
        <v>1</v>
      </c>
      <c r="Y12" s="20">
        <v>1</v>
      </c>
      <c r="Z12" s="20">
        <v>1</v>
      </c>
      <c r="AA12" s="20">
        <v>1</v>
      </c>
      <c r="AB12" s="20">
        <v>1</v>
      </c>
      <c r="AC12" s="20">
        <v>1</v>
      </c>
      <c r="AD12" s="20">
        <v>1</v>
      </c>
      <c r="AE12" s="20">
        <v>1</v>
      </c>
      <c r="AF12" s="20">
        <v>1</v>
      </c>
      <c r="AG12" s="20">
        <v>1</v>
      </c>
      <c r="AH12" s="20"/>
      <c r="AJ12" s="21" t="s">
        <v>17</v>
      </c>
      <c r="AK12" s="21" t="s">
        <v>62</v>
      </c>
      <c r="AL12" s="21" t="s">
        <v>61</v>
      </c>
      <c r="AM12" s="21" t="s">
        <v>64</v>
      </c>
      <c r="AN12" s="21" t="s">
        <v>43</v>
      </c>
    </row>
    <row r="13" spans="2:40" x14ac:dyDescent="0.3">
      <c r="D13" t="s">
        <v>10</v>
      </c>
      <c r="E13">
        <v>10000</v>
      </c>
      <c r="F13">
        <f>Table4[[#This Row],['# hosts]]+2</f>
        <v>10002</v>
      </c>
      <c r="G13" s="10" t="b">
        <v>1</v>
      </c>
      <c r="I13" s="3">
        <v>10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4">
        <v>1</v>
      </c>
      <c r="V13" s="4">
        <v>1</v>
      </c>
      <c r="W13" s="4">
        <v>1</v>
      </c>
      <c r="X13" s="4">
        <v>1</v>
      </c>
      <c r="Y13" s="4">
        <v>1</v>
      </c>
      <c r="Z13" s="4">
        <v>1</v>
      </c>
      <c r="AA13" s="4">
        <v>1</v>
      </c>
      <c r="AB13" s="4">
        <v>1</v>
      </c>
      <c r="AC13" s="4">
        <v>1</v>
      </c>
      <c r="AD13" s="4">
        <v>1</v>
      </c>
      <c r="AE13" s="4">
        <v>1</v>
      </c>
      <c r="AF13" s="4">
        <v>1</v>
      </c>
      <c r="AG13" s="4">
        <v>1</v>
      </c>
      <c r="AH13" s="4"/>
      <c r="AJ13" s="6" t="s">
        <v>11</v>
      </c>
      <c r="AK13" s="6" t="s">
        <v>65</v>
      </c>
      <c r="AL13" s="6" t="s">
        <v>61</v>
      </c>
      <c r="AM13" s="6" t="s">
        <v>66</v>
      </c>
      <c r="AN13" s="6" t="s">
        <v>44</v>
      </c>
    </row>
    <row r="14" spans="2:40" x14ac:dyDescent="0.3">
      <c r="D14" t="s">
        <v>17</v>
      </c>
      <c r="E14">
        <v>7605</v>
      </c>
      <c r="F14">
        <f>Table4[[#This Row],['# hosts]]+2</f>
        <v>7607</v>
      </c>
      <c r="G14" s="10" t="b">
        <v>1</v>
      </c>
      <c r="I14" s="3">
        <v>10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23">
        <v>1</v>
      </c>
      <c r="V14" s="23">
        <v>1</v>
      </c>
      <c r="W14" s="23">
        <v>1</v>
      </c>
      <c r="X14" s="23">
        <v>1</v>
      </c>
      <c r="Y14" s="23">
        <v>1</v>
      </c>
      <c r="Z14" s="23">
        <v>1</v>
      </c>
      <c r="AA14" s="23">
        <v>1</v>
      </c>
      <c r="AB14" s="23">
        <v>1</v>
      </c>
      <c r="AC14" s="23">
        <v>1</v>
      </c>
      <c r="AD14" s="23">
        <v>1</v>
      </c>
      <c r="AE14" s="23">
        <v>1</v>
      </c>
      <c r="AF14" s="23">
        <v>1</v>
      </c>
      <c r="AG14" s="23">
        <v>1</v>
      </c>
      <c r="AH14" s="23"/>
      <c r="AJ14" s="22" t="s">
        <v>15</v>
      </c>
      <c r="AK14" s="22" t="s">
        <v>67</v>
      </c>
      <c r="AL14" s="22" t="s">
        <v>61</v>
      </c>
      <c r="AM14" s="22" t="s">
        <v>80</v>
      </c>
      <c r="AN14" s="22" t="s">
        <v>45</v>
      </c>
    </row>
    <row r="15" spans="2:40" x14ac:dyDescent="0.3">
      <c r="D15" t="s">
        <v>11</v>
      </c>
      <c r="E15">
        <v>7157</v>
      </c>
      <c r="F15">
        <f>Table4[[#This Row],['# hosts]]+2</f>
        <v>7159</v>
      </c>
      <c r="G15" s="10" t="b">
        <v>1</v>
      </c>
      <c r="I15" s="3">
        <v>10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11">
        <v>1</v>
      </c>
      <c r="V15" s="11">
        <v>1</v>
      </c>
      <c r="W15" s="11">
        <v>1</v>
      </c>
      <c r="X15" s="11">
        <v>1</v>
      </c>
      <c r="Y15" s="11">
        <v>1</v>
      </c>
      <c r="Z15" s="11">
        <v>1</v>
      </c>
      <c r="AA15" s="11">
        <v>1</v>
      </c>
      <c r="AB15" s="11">
        <v>1</v>
      </c>
      <c r="AC15" s="11">
        <v>1</v>
      </c>
      <c r="AD15" s="11">
        <v>1</v>
      </c>
      <c r="AE15" s="11">
        <v>1</v>
      </c>
      <c r="AF15" s="11">
        <v>1</v>
      </c>
      <c r="AG15" s="11">
        <v>1</v>
      </c>
      <c r="AH15" s="11"/>
      <c r="AJ15" s="13" t="s">
        <v>12</v>
      </c>
      <c r="AK15" s="13" t="s">
        <v>68</v>
      </c>
      <c r="AL15" s="13" t="s">
        <v>61</v>
      </c>
      <c r="AM15" s="13" t="s">
        <v>69</v>
      </c>
      <c r="AN15" s="13" t="s">
        <v>46</v>
      </c>
    </row>
    <row r="16" spans="2:40" x14ac:dyDescent="0.3">
      <c r="D16" t="s">
        <v>15</v>
      </c>
      <c r="E16">
        <v>7000</v>
      </c>
      <c r="F16">
        <f>Table4[[#This Row],['# hosts]]+2</f>
        <v>7002</v>
      </c>
      <c r="G16" s="10" t="b">
        <v>1</v>
      </c>
      <c r="I16" s="3">
        <v>10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15">
        <v>1</v>
      </c>
      <c r="W16" s="15">
        <v>1</v>
      </c>
      <c r="X16" s="15">
        <v>1</v>
      </c>
      <c r="Y16" s="15">
        <v>1</v>
      </c>
      <c r="Z16" s="15">
        <v>1</v>
      </c>
      <c r="AA16" s="15">
        <v>1</v>
      </c>
      <c r="AB16" s="15">
        <v>1</v>
      </c>
      <c r="AC16" s="15">
        <v>1</v>
      </c>
      <c r="AD16" s="15">
        <v>1</v>
      </c>
      <c r="AE16" s="15">
        <v>1</v>
      </c>
      <c r="AF16" s="15">
        <v>1</v>
      </c>
      <c r="AG16" s="15">
        <v>1</v>
      </c>
      <c r="AH16" s="15"/>
      <c r="AJ16" s="14" t="s">
        <v>6</v>
      </c>
      <c r="AK16" s="14" t="s">
        <v>71</v>
      </c>
      <c r="AL16" s="14" t="s">
        <v>70</v>
      </c>
      <c r="AM16" s="14" t="s">
        <v>72</v>
      </c>
      <c r="AN16" s="14" t="s">
        <v>47</v>
      </c>
    </row>
    <row r="17" spans="4:41" x14ac:dyDescent="0.3">
      <c r="D17" t="s">
        <v>12</v>
      </c>
      <c r="E17">
        <v>4500</v>
      </c>
      <c r="F17">
        <f>Table4[[#This Row],['# hosts]]+2</f>
        <v>4502</v>
      </c>
      <c r="G17" s="10" t="b">
        <v>1</v>
      </c>
      <c r="I17" s="3">
        <v>10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8">
        <v>1</v>
      </c>
      <c r="W17" s="8">
        <v>1</v>
      </c>
      <c r="X17" s="8">
        <v>1</v>
      </c>
      <c r="Y17" s="8">
        <v>1</v>
      </c>
      <c r="Z17" s="8">
        <v>1</v>
      </c>
      <c r="AA17" s="8">
        <v>1</v>
      </c>
      <c r="AB17" s="8">
        <v>1</v>
      </c>
      <c r="AC17" s="8">
        <v>1</v>
      </c>
      <c r="AD17" s="8">
        <v>1</v>
      </c>
      <c r="AE17" s="8">
        <v>1</v>
      </c>
      <c r="AF17" s="8">
        <v>1</v>
      </c>
      <c r="AG17" s="8">
        <v>1</v>
      </c>
      <c r="AH17" s="8"/>
      <c r="AJ17" s="9" t="s">
        <v>7</v>
      </c>
      <c r="AK17" s="9" t="s">
        <v>73</v>
      </c>
      <c r="AL17" s="9" t="s">
        <v>70</v>
      </c>
      <c r="AM17" s="9" t="s">
        <v>74</v>
      </c>
      <c r="AN17" s="9" t="s">
        <v>48</v>
      </c>
    </row>
    <row r="18" spans="4:41" x14ac:dyDescent="0.3">
      <c r="D18" t="s">
        <v>6</v>
      </c>
      <c r="E18">
        <v>3444</v>
      </c>
      <c r="F18">
        <f>Table4[[#This Row],['# hosts]]+2</f>
        <v>3446</v>
      </c>
      <c r="G18" s="10" t="b">
        <v>1</v>
      </c>
      <c r="I18" s="3">
        <v>10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17">
        <v>1</v>
      </c>
      <c r="W18" s="17">
        <v>1</v>
      </c>
      <c r="X18" s="17">
        <v>1</v>
      </c>
      <c r="Y18" s="17">
        <v>1</v>
      </c>
      <c r="Z18" s="17">
        <v>1</v>
      </c>
      <c r="AA18" s="17">
        <v>1</v>
      </c>
      <c r="AB18" s="17">
        <v>1</v>
      </c>
      <c r="AC18" s="17">
        <v>1</v>
      </c>
      <c r="AD18" s="17">
        <v>1</v>
      </c>
      <c r="AE18" s="17">
        <v>1</v>
      </c>
      <c r="AF18" s="17">
        <v>1</v>
      </c>
      <c r="AG18" s="17">
        <v>1</v>
      </c>
      <c r="AH18" s="17"/>
      <c r="AJ18" s="16" t="s">
        <v>19</v>
      </c>
      <c r="AK18" s="16" t="s">
        <v>75</v>
      </c>
      <c r="AL18" s="16" t="s">
        <v>70</v>
      </c>
      <c r="AM18" s="16" t="s">
        <v>76</v>
      </c>
      <c r="AN18" s="16" t="s">
        <v>49</v>
      </c>
    </row>
    <row r="19" spans="4:41" x14ac:dyDescent="0.3">
      <c r="D19" t="s">
        <v>7</v>
      </c>
      <c r="E19">
        <v>3375</v>
      </c>
      <c r="F19">
        <f>Table4[[#This Row],['# hosts]]+2</f>
        <v>3377</v>
      </c>
      <c r="G19" s="10" t="b">
        <v>1</v>
      </c>
      <c r="I19" s="24">
        <v>10</v>
      </c>
      <c r="J19" s="24">
        <v>0</v>
      </c>
      <c r="K19" s="24">
        <v>0</v>
      </c>
      <c r="L19" s="24">
        <v>0</v>
      </c>
      <c r="M19" s="24">
        <v>0</v>
      </c>
      <c r="N19" s="24">
        <v>0</v>
      </c>
      <c r="O19" s="24">
        <v>0</v>
      </c>
      <c r="P19" s="24">
        <v>0</v>
      </c>
      <c r="Q19" s="24">
        <v>0</v>
      </c>
      <c r="R19" s="24">
        <v>0</v>
      </c>
      <c r="S19" s="24">
        <v>0</v>
      </c>
      <c r="T19" s="24">
        <v>0</v>
      </c>
      <c r="U19" s="24">
        <v>0</v>
      </c>
      <c r="V19" s="24">
        <v>0</v>
      </c>
      <c r="W19" s="24">
        <v>0</v>
      </c>
      <c r="X19" s="24">
        <v>0</v>
      </c>
      <c r="Y19" s="25">
        <v>1</v>
      </c>
      <c r="Z19" s="25">
        <v>1</v>
      </c>
      <c r="AA19" s="25">
        <v>1</v>
      </c>
      <c r="AB19" s="25">
        <v>1</v>
      </c>
      <c r="AC19" s="25">
        <v>1</v>
      </c>
      <c r="AD19" s="25">
        <v>1</v>
      </c>
      <c r="AE19" s="25">
        <v>1</v>
      </c>
      <c r="AF19" s="25">
        <v>1</v>
      </c>
      <c r="AG19" s="25">
        <v>1</v>
      </c>
      <c r="AH19" s="25"/>
      <c r="AJ19" s="18" t="s">
        <v>5</v>
      </c>
      <c r="AK19" s="18" t="s">
        <v>77</v>
      </c>
      <c r="AL19" s="18" t="s">
        <v>78</v>
      </c>
      <c r="AM19" s="18" t="s">
        <v>79</v>
      </c>
      <c r="AN19" s="18" t="s">
        <v>50</v>
      </c>
    </row>
    <row r="20" spans="4:41" x14ac:dyDescent="0.3">
      <c r="D20" t="s">
        <v>19</v>
      </c>
      <c r="E20">
        <v>3300</v>
      </c>
      <c r="F20">
        <f>Table4[[#This Row],['# hosts]]+2</f>
        <v>3302</v>
      </c>
      <c r="G20" s="10" t="b">
        <v>1</v>
      </c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</row>
    <row r="21" spans="4:41" x14ac:dyDescent="0.3">
      <c r="D21" t="s">
        <v>5</v>
      </c>
      <c r="E21">
        <v>486</v>
      </c>
      <c r="F21">
        <f>Table4[[#This Row],['# hosts]]+2</f>
        <v>488</v>
      </c>
      <c r="G21" s="10" t="b">
        <v>1</v>
      </c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</row>
    <row r="24" spans="4:41" x14ac:dyDescent="0.3">
      <c r="D24" s="2" t="s">
        <v>4</v>
      </c>
      <c r="AJ24"/>
      <c r="AO24" s="5"/>
    </row>
    <row r="25" spans="4:41" x14ac:dyDescent="0.3">
      <c r="D25" s="1" t="s">
        <v>107</v>
      </c>
      <c r="AJ25"/>
      <c r="AO25" s="5"/>
    </row>
    <row r="26" spans="4:41" x14ac:dyDescent="0.3">
      <c r="AJ26"/>
      <c r="AO26" s="5"/>
    </row>
    <row r="27" spans="4:41" x14ac:dyDescent="0.3">
      <c r="P27" s="28"/>
      <c r="Q27" s="28"/>
      <c r="R27" s="28">
        <v>128</v>
      </c>
      <c r="S27" s="28">
        <v>64</v>
      </c>
      <c r="T27" s="28">
        <v>32</v>
      </c>
      <c r="U27" s="28">
        <v>16</v>
      </c>
      <c r="V27" s="28">
        <v>8</v>
      </c>
      <c r="W27" s="28">
        <v>4</v>
      </c>
      <c r="X27" s="28">
        <v>2</v>
      </c>
      <c r="Y27" s="28">
        <v>1</v>
      </c>
      <c r="Z27" s="28">
        <v>128</v>
      </c>
      <c r="AA27" s="28">
        <v>64</v>
      </c>
      <c r="AB27" s="28">
        <v>32</v>
      </c>
      <c r="AC27" s="28">
        <v>16</v>
      </c>
      <c r="AD27" s="28">
        <v>8</v>
      </c>
      <c r="AE27" s="28">
        <v>4</v>
      </c>
      <c r="AF27" s="28">
        <v>2</v>
      </c>
      <c r="AG27" s="28">
        <v>1</v>
      </c>
      <c r="AH27" s="28" t="s">
        <v>23</v>
      </c>
      <c r="AO27" s="5"/>
    </row>
    <row r="28" spans="4:41" ht="15.6" x14ac:dyDescent="0.3">
      <c r="D28" t="s">
        <v>81</v>
      </c>
      <c r="E28" t="s">
        <v>82</v>
      </c>
      <c r="F28" t="s">
        <v>106</v>
      </c>
      <c r="I28" s="29"/>
      <c r="J28" s="29"/>
      <c r="K28" s="29"/>
      <c r="L28" s="29"/>
      <c r="M28" s="29"/>
      <c r="N28" s="29"/>
      <c r="O28" s="29"/>
      <c r="P28" s="28"/>
      <c r="Q28" s="28"/>
      <c r="R28" s="3">
        <v>65536</v>
      </c>
      <c r="S28" s="3">
        <v>32768</v>
      </c>
      <c r="T28" s="3">
        <v>16384</v>
      </c>
      <c r="U28" s="3">
        <v>8192</v>
      </c>
      <c r="V28" s="3">
        <v>4096</v>
      </c>
      <c r="W28" s="3">
        <v>2048</v>
      </c>
      <c r="X28" s="3">
        <v>1024</v>
      </c>
      <c r="Y28" s="3">
        <v>512</v>
      </c>
      <c r="Z28" s="28">
        <v>256</v>
      </c>
      <c r="AA28" s="28">
        <v>128</v>
      </c>
      <c r="AB28" s="28">
        <v>64</v>
      </c>
      <c r="AC28" s="28">
        <v>32</v>
      </c>
      <c r="AD28" s="28">
        <v>16</v>
      </c>
      <c r="AE28" s="28">
        <v>8</v>
      </c>
      <c r="AF28" s="28">
        <v>4</v>
      </c>
      <c r="AG28" s="28">
        <v>2</v>
      </c>
      <c r="AH28" s="28" t="s">
        <v>24</v>
      </c>
      <c r="AJ28" s="7" t="s">
        <v>30</v>
      </c>
      <c r="AK28" s="7" t="s">
        <v>26</v>
      </c>
      <c r="AL28" s="7" t="s">
        <v>29</v>
      </c>
      <c r="AM28" s="7" t="s">
        <v>27</v>
      </c>
      <c r="AN28" s="7" t="s">
        <v>28</v>
      </c>
      <c r="AO28" s="5"/>
    </row>
    <row r="29" spans="4:41" x14ac:dyDescent="0.3">
      <c r="D29" t="s">
        <v>88</v>
      </c>
      <c r="E29">
        <v>5354</v>
      </c>
      <c r="F29">
        <f>Table2[[#This Row],[Hosts]]+2</f>
        <v>5356</v>
      </c>
      <c r="G29" s="10" t="b">
        <v>1</v>
      </c>
      <c r="I29" s="29"/>
      <c r="J29" s="29"/>
      <c r="K29" s="29"/>
      <c r="L29" s="29"/>
      <c r="M29" s="29"/>
      <c r="N29" s="29"/>
      <c r="O29" s="29"/>
      <c r="P29" s="28">
        <v>172</v>
      </c>
      <c r="Q29" s="28">
        <v>24</v>
      </c>
      <c r="R29" s="28">
        <v>0</v>
      </c>
      <c r="S29" s="28">
        <v>0</v>
      </c>
      <c r="T29" s="28">
        <v>0</v>
      </c>
      <c r="U29" s="4">
        <v>1</v>
      </c>
      <c r="V29" s="4">
        <v>1</v>
      </c>
      <c r="W29" s="4">
        <v>1</v>
      </c>
      <c r="X29" s="4">
        <v>1</v>
      </c>
      <c r="Y29" s="4">
        <v>1</v>
      </c>
      <c r="Z29" s="4">
        <v>1</v>
      </c>
      <c r="AA29" s="4">
        <v>1</v>
      </c>
      <c r="AB29" s="4">
        <v>1</v>
      </c>
      <c r="AC29" s="4">
        <v>1</v>
      </c>
      <c r="AD29" s="4">
        <v>1</v>
      </c>
      <c r="AE29" s="4">
        <v>1</v>
      </c>
      <c r="AF29" s="4">
        <v>1</v>
      </c>
      <c r="AG29" s="4">
        <v>1</v>
      </c>
      <c r="AH29" s="4"/>
      <c r="AJ29" s="6" t="s">
        <v>88</v>
      </c>
      <c r="AK29" s="6" t="s">
        <v>109</v>
      </c>
      <c r="AL29" s="6" t="s">
        <v>61</v>
      </c>
      <c r="AM29" s="6" t="s">
        <v>111</v>
      </c>
      <c r="AN29" s="6" t="s">
        <v>110</v>
      </c>
      <c r="AO29" s="5"/>
    </row>
    <row r="30" spans="4:41" x14ac:dyDescent="0.3">
      <c r="D30" t="s">
        <v>86</v>
      </c>
      <c r="E30">
        <v>2700</v>
      </c>
      <c r="F30">
        <f>Table2[[#This Row],[Hosts]]+2</f>
        <v>2702</v>
      </c>
      <c r="G30" s="10" t="b">
        <v>1</v>
      </c>
      <c r="I30" s="29"/>
      <c r="J30" s="29"/>
      <c r="K30" s="29"/>
      <c r="L30" s="29"/>
      <c r="M30" s="29"/>
      <c r="N30" s="29"/>
      <c r="O30" s="29"/>
      <c r="P30" s="28">
        <v>172</v>
      </c>
      <c r="Q30" s="28">
        <v>24</v>
      </c>
      <c r="R30" s="28">
        <v>0</v>
      </c>
      <c r="S30" s="28">
        <v>0</v>
      </c>
      <c r="T30" s="28">
        <v>0</v>
      </c>
      <c r="U30" s="28">
        <v>0</v>
      </c>
      <c r="V30" s="20">
        <v>1</v>
      </c>
      <c r="W30" s="20">
        <v>1</v>
      </c>
      <c r="X30" s="20">
        <v>1</v>
      </c>
      <c r="Y30" s="20">
        <v>1</v>
      </c>
      <c r="Z30" s="20">
        <v>1</v>
      </c>
      <c r="AA30" s="20">
        <v>1</v>
      </c>
      <c r="AB30" s="20">
        <v>1</v>
      </c>
      <c r="AC30" s="20">
        <v>1</v>
      </c>
      <c r="AD30" s="20">
        <v>1</v>
      </c>
      <c r="AE30" s="20">
        <v>1</v>
      </c>
      <c r="AF30" s="20">
        <v>1</v>
      </c>
      <c r="AG30" s="20">
        <v>1</v>
      </c>
      <c r="AH30" s="20"/>
      <c r="AJ30" s="21" t="s">
        <v>86</v>
      </c>
      <c r="AK30" s="21" t="s">
        <v>112</v>
      </c>
      <c r="AL30" s="21" t="s">
        <v>70</v>
      </c>
      <c r="AM30" s="21" t="s">
        <v>114</v>
      </c>
      <c r="AN30" s="21" t="s">
        <v>113</v>
      </c>
      <c r="AO30" s="5"/>
    </row>
    <row r="31" spans="4:41" x14ac:dyDescent="0.3">
      <c r="D31" t="s">
        <v>87</v>
      </c>
      <c r="E31">
        <v>2480</v>
      </c>
      <c r="F31">
        <f>Table2[[#This Row],[Hosts]]+2</f>
        <v>2482</v>
      </c>
      <c r="G31" s="10" t="b">
        <v>1</v>
      </c>
      <c r="I31" s="29"/>
      <c r="J31" s="29"/>
      <c r="K31" s="29"/>
      <c r="L31" s="29"/>
      <c r="M31" s="29"/>
      <c r="N31" s="29"/>
      <c r="O31" s="29"/>
      <c r="P31" s="28">
        <v>172</v>
      </c>
      <c r="Q31" s="28">
        <v>24</v>
      </c>
      <c r="R31" s="28">
        <v>0</v>
      </c>
      <c r="S31" s="28">
        <v>0</v>
      </c>
      <c r="T31" s="28">
        <v>0</v>
      </c>
      <c r="U31" s="28">
        <v>0</v>
      </c>
      <c r="V31" s="11">
        <v>1</v>
      </c>
      <c r="W31" s="11">
        <v>1</v>
      </c>
      <c r="X31" s="11">
        <v>1</v>
      </c>
      <c r="Y31" s="11">
        <v>1</v>
      </c>
      <c r="Z31" s="11">
        <v>1</v>
      </c>
      <c r="AA31" s="11">
        <v>1</v>
      </c>
      <c r="AB31" s="11">
        <v>1</v>
      </c>
      <c r="AC31" s="11">
        <v>1</v>
      </c>
      <c r="AD31" s="11">
        <v>1</v>
      </c>
      <c r="AE31" s="11">
        <v>1</v>
      </c>
      <c r="AF31" s="11">
        <v>1</v>
      </c>
      <c r="AG31" s="11">
        <v>1</v>
      </c>
      <c r="AH31" s="11"/>
      <c r="AJ31" s="30" t="s">
        <v>87</v>
      </c>
      <c r="AK31" s="13" t="s">
        <v>116</v>
      </c>
      <c r="AL31" s="13" t="s">
        <v>70</v>
      </c>
      <c r="AM31" s="13" t="s">
        <v>117</v>
      </c>
      <c r="AN31" s="13" t="s">
        <v>115</v>
      </c>
      <c r="AO31" s="5"/>
    </row>
    <row r="32" spans="4:41" x14ac:dyDescent="0.3">
      <c r="D32" t="s">
        <v>89</v>
      </c>
      <c r="E32">
        <v>2392</v>
      </c>
      <c r="F32">
        <f>Table2[[#This Row],[Hosts]]+2</f>
        <v>2394</v>
      </c>
      <c r="G32" s="10" t="b">
        <v>1</v>
      </c>
      <c r="I32" s="29"/>
      <c r="J32" s="29"/>
      <c r="K32" s="29"/>
      <c r="L32" s="29"/>
      <c r="M32" s="29"/>
      <c r="N32" s="29"/>
      <c r="O32" s="29"/>
      <c r="P32" s="28">
        <v>172</v>
      </c>
      <c r="Q32" s="28">
        <v>24</v>
      </c>
      <c r="R32" s="28">
        <v>0</v>
      </c>
      <c r="S32" s="28">
        <v>0</v>
      </c>
      <c r="T32" s="28">
        <v>0</v>
      </c>
      <c r="U32" s="28">
        <v>0</v>
      </c>
      <c r="V32" s="15">
        <v>1</v>
      </c>
      <c r="W32" s="15">
        <v>1</v>
      </c>
      <c r="X32" s="15">
        <v>1</v>
      </c>
      <c r="Y32" s="15">
        <v>1</v>
      </c>
      <c r="Z32" s="15">
        <v>1</v>
      </c>
      <c r="AA32" s="15">
        <v>1</v>
      </c>
      <c r="AB32" s="15">
        <v>1</v>
      </c>
      <c r="AC32" s="15">
        <v>1</v>
      </c>
      <c r="AD32" s="15">
        <v>1</v>
      </c>
      <c r="AE32" s="15">
        <v>1</v>
      </c>
      <c r="AF32" s="15">
        <v>1</v>
      </c>
      <c r="AG32" s="15">
        <v>1</v>
      </c>
      <c r="AH32" s="15"/>
      <c r="AJ32" s="14" t="s">
        <v>89</v>
      </c>
      <c r="AK32" s="14" t="s">
        <v>118</v>
      </c>
      <c r="AL32" s="14" t="s">
        <v>70</v>
      </c>
      <c r="AM32" s="14" t="s">
        <v>119</v>
      </c>
      <c r="AN32" s="14" t="s">
        <v>120</v>
      </c>
      <c r="AO32" s="5"/>
    </row>
    <row r="33" spans="4:41" x14ac:dyDescent="0.3">
      <c r="D33" t="s">
        <v>84</v>
      </c>
      <c r="E33">
        <v>2382</v>
      </c>
      <c r="F33">
        <f>Table2[[#This Row],[Hosts]]+2</f>
        <v>2384</v>
      </c>
      <c r="G33" s="10" t="b">
        <v>1</v>
      </c>
      <c r="I33" s="29"/>
      <c r="J33" s="29"/>
      <c r="K33" s="29"/>
      <c r="L33" s="29"/>
      <c r="M33" s="29"/>
      <c r="N33" s="29"/>
      <c r="O33" s="29"/>
      <c r="P33" s="28">
        <v>172</v>
      </c>
      <c r="Q33" s="28">
        <v>24</v>
      </c>
      <c r="R33" s="28">
        <v>0</v>
      </c>
      <c r="S33" s="28">
        <v>0</v>
      </c>
      <c r="T33" s="28">
        <v>0</v>
      </c>
      <c r="U33" s="28">
        <v>0</v>
      </c>
      <c r="V33" s="8">
        <v>1</v>
      </c>
      <c r="W33" s="8">
        <v>1</v>
      </c>
      <c r="X33" s="8">
        <v>1</v>
      </c>
      <c r="Y33" s="8">
        <v>1</v>
      </c>
      <c r="Z33" s="8">
        <v>1</v>
      </c>
      <c r="AA33" s="8">
        <v>1</v>
      </c>
      <c r="AB33" s="8">
        <v>1</v>
      </c>
      <c r="AC33" s="8">
        <v>1</v>
      </c>
      <c r="AD33" s="8">
        <v>1</v>
      </c>
      <c r="AE33" s="8">
        <v>1</v>
      </c>
      <c r="AF33" s="8">
        <v>1</v>
      </c>
      <c r="AG33" s="8">
        <v>1</v>
      </c>
      <c r="AH33" s="8"/>
      <c r="AJ33" s="9" t="s">
        <v>84</v>
      </c>
      <c r="AK33" s="9" t="s">
        <v>121</v>
      </c>
      <c r="AL33" s="9" t="s">
        <v>70</v>
      </c>
      <c r="AM33" s="9" t="s">
        <v>122</v>
      </c>
      <c r="AN33" s="9" t="s">
        <v>123</v>
      </c>
      <c r="AO33" s="5"/>
    </row>
    <row r="34" spans="4:41" x14ac:dyDescent="0.3">
      <c r="D34" t="s">
        <v>91</v>
      </c>
      <c r="E34">
        <v>1348</v>
      </c>
      <c r="F34">
        <f>Table2[[#This Row],[Hosts]]+2</f>
        <v>1350</v>
      </c>
      <c r="G34" s="10" t="b">
        <v>1</v>
      </c>
      <c r="I34" s="29"/>
      <c r="J34" s="29"/>
      <c r="K34" s="29"/>
      <c r="L34" s="29"/>
      <c r="M34" s="29"/>
      <c r="N34" s="29"/>
      <c r="O34" s="29"/>
      <c r="P34" s="28">
        <v>172</v>
      </c>
      <c r="Q34" s="28">
        <v>24</v>
      </c>
      <c r="R34" s="28">
        <v>0</v>
      </c>
      <c r="S34" s="28">
        <v>0</v>
      </c>
      <c r="T34" s="28">
        <v>0</v>
      </c>
      <c r="U34" s="28">
        <v>0</v>
      </c>
      <c r="V34" s="28">
        <v>0</v>
      </c>
      <c r="W34" s="17">
        <v>1</v>
      </c>
      <c r="X34" s="17">
        <v>1</v>
      </c>
      <c r="Y34" s="17">
        <v>1</v>
      </c>
      <c r="Z34" s="17">
        <v>1</v>
      </c>
      <c r="AA34" s="17">
        <v>1</v>
      </c>
      <c r="AB34" s="17">
        <v>1</v>
      </c>
      <c r="AC34" s="17">
        <v>1</v>
      </c>
      <c r="AD34" s="17">
        <v>1</v>
      </c>
      <c r="AE34" s="17">
        <v>1</v>
      </c>
      <c r="AF34" s="17">
        <v>1</v>
      </c>
      <c r="AG34" s="17">
        <v>1</v>
      </c>
      <c r="AH34" s="17"/>
      <c r="AJ34" s="16" t="s">
        <v>91</v>
      </c>
      <c r="AK34" s="16" t="s">
        <v>124</v>
      </c>
      <c r="AL34" s="16" t="s">
        <v>125</v>
      </c>
      <c r="AM34" s="16" t="s">
        <v>126</v>
      </c>
      <c r="AN34" s="16" t="s">
        <v>127</v>
      </c>
      <c r="AO34" s="5"/>
    </row>
    <row r="35" spans="4:41" x14ac:dyDescent="0.3">
      <c r="D35" t="s">
        <v>93</v>
      </c>
      <c r="E35">
        <v>760</v>
      </c>
      <c r="F35">
        <f>Table2[[#This Row],[Hosts]]+2</f>
        <v>762</v>
      </c>
      <c r="G35" s="10" t="b">
        <v>1</v>
      </c>
      <c r="I35" s="29"/>
      <c r="J35" s="29"/>
      <c r="K35" s="29"/>
      <c r="L35" s="29"/>
      <c r="M35" s="29"/>
      <c r="N35" s="29"/>
      <c r="O35" s="29"/>
      <c r="P35" s="28">
        <v>172</v>
      </c>
      <c r="Q35" s="28">
        <v>24</v>
      </c>
      <c r="R35" s="28">
        <v>0</v>
      </c>
      <c r="S35" s="28">
        <v>0</v>
      </c>
      <c r="T35" s="28">
        <v>0</v>
      </c>
      <c r="U35" s="28">
        <v>0</v>
      </c>
      <c r="V35" s="28">
        <v>0</v>
      </c>
      <c r="W35" s="28">
        <v>0</v>
      </c>
      <c r="X35" s="19">
        <v>1</v>
      </c>
      <c r="Y35" s="19">
        <v>1</v>
      </c>
      <c r="Z35" s="19">
        <v>1</v>
      </c>
      <c r="AA35" s="19">
        <v>1</v>
      </c>
      <c r="AB35" s="19">
        <v>1</v>
      </c>
      <c r="AC35" s="19">
        <v>1</v>
      </c>
      <c r="AD35" s="19">
        <v>1</v>
      </c>
      <c r="AE35" s="19">
        <v>1</v>
      </c>
      <c r="AF35" s="19">
        <v>1</v>
      </c>
      <c r="AG35" s="19">
        <v>1</v>
      </c>
      <c r="AH35" s="19"/>
      <c r="AJ35" s="18" t="s">
        <v>93</v>
      </c>
      <c r="AK35" s="18" t="s">
        <v>128</v>
      </c>
      <c r="AL35" s="18" t="s">
        <v>129</v>
      </c>
      <c r="AM35" s="18" t="s">
        <v>130</v>
      </c>
      <c r="AN35" s="18" t="s">
        <v>131</v>
      </c>
      <c r="AO35" s="5"/>
    </row>
    <row r="36" spans="4:41" x14ac:dyDescent="0.3">
      <c r="D36" t="s">
        <v>83</v>
      </c>
      <c r="E36">
        <v>686</v>
      </c>
      <c r="F36">
        <f>Table2[[#This Row],[Hosts]]+2</f>
        <v>688</v>
      </c>
      <c r="G36" s="10" t="b">
        <v>1</v>
      </c>
      <c r="I36" s="29"/>
      <c r="J36" s="29"/>
      <c r="K36" s="29"/>
      <c r="L36" s="29"/>
      <c r="M36" s="29"/>
      <c r="N36" s="29"/>
      <c r="O36" s="29"/>
      <c r="P36" s="28">
        <v>172</v>
      </c>
      <c r="Q36" s="28">
        <v>24</v>
      </c>
      <c r="R36" s="28">
        <v>0</v>
      </c>
      <c r="S36" s="28">
        <v>0</v>
      </c>
      <c r="T36" s="28">
        <v>0</v>
      </c>
      <c r="U36" s="28">
        <v>0</v>
      </c>
      <c r="V36" s="28">
        <v>0</v>
      </c>
      <c r="W36" s="28">
        <v>0</v>
      </c>
      <c r="X36" s="20">
        <v>1</v>
      </c>
      <c r="Y36" s="20">
        <v>1</v>
      </c>
      <c r="Z36" s="20">
        <v>1</v>
      </c>
      <c r="AA36" s="20">
        <v>1</v>
      </c>
      <c r="AB36" s="20">
        <v>1</v>
      </c>
      <c r="AC36" s="20">
        <v>1</v>
      </c>
      <c r="AD36" s="20">
        <v>1</v>
      </c>
      <c r="AE36" s="20">
        <v>1</v>
      </c>
      <c r="AF36" s="20">
        <v>1</v>
      </c>
      <c r="AG36" s="20">
        <v>1</v>
      </c>
      <c r="AH36" s="20"/>
      <c r="AJ36" s="21" t="s">
        <v>83</v>
      </c>
      <c r="AK36" s="21" t="s">
        <v>132</v>
      </c>
      <c r="AL36" s="21" t="s">
        <v>129</v>
      </c>
      <c r="AM36" s="21" t="s">
        <v>133</v>
      </c>
      <c r="AN36" s="21" t="s">
        <v>134</v>
      </c>
      <c r="AO36" s="5"/>
    </row>
    <row r="37" spans="4:41" x14ac:dyDescent="0.3">
      <c r="D37" t="s">
        <v>92</v>
      </c>
      <c r="E37">
        <v>520</v>
      </c>
      <c r="F37">
        <f>Table2[[#This Row],[Hosts]]+2</f>
        <v>522</v>
      </c>
      <c r="G37" s="10" t="b">
        <v>1</v>
      </c>
      <c r="I37" s="29"/>
      <c r="J37" s="29"/>
      <c r="K37" s="29"/>
      <c r="L37" s="29"/>
      <c r="M37" s="29"/>
      <c r="N37" s="29"/>
      <c r="O37" s="29"/>
      <c r="P37" s="28">
        <v>172</v>
      </c>
      <c r="Q37" s="28">
        <v>24</v>
      </c>
      <c r="R37" s="28">
        <v>0</v>
      </c>
      <c r="S37" s="28">
        <v>0</v>
      </c>
      <c r="T37" s="28">
        <v>0</v>
      </c>
      <c r="U37" s="28">
        <v>0</v>
      </c>
      <c r="V37" s="28">
        <v>0</v>
      </c>
      <c r="W37" s="28">
        <v>0</v>
      </c>
      <c r="X37" s="4">
        <v>1</v>
      </c>
      <c r="Y37" s="4">
        <v>1</v>
      </c>
      <c r="Z37" s="4">
        <v>1</v>
      </c>
      <c r="AA37" s="4">
        <v>1</v>
      </c>
      <c r="AB37" s="4">
        <v>1</v>
      </c>
      <c r="AC37" s="4">
        <v>1</v>
      </c>
      <c r="AD37" s="4">
        <v>1</v>
      </c>
      <c r="AE37" s="4">
        <v>1</v>
      </c>
      <c r="AF37" s="4">
        <v>1</v>
      </c>
      <c r="AG37" s="4">
        <v>1</v>
      </c>
      <c r="AH37" s="4"/>
      <c r="AJ37" s="6" t="s">
        <v>92</v>
      </c>
      <c r="AK37" s="6" t="s">
        <v>135</v>
      </c>
      <c r="AL37" s="6" t="s">
        <v>129</v>
      </c>
      <c r="AM37" s="6" t="s">
        <v>136</v>
      </c>
      <c r="AN37" s="6" t="s">
        <v>137</v>
      </c>
      <c r="AO37" s="5"/>
    </row>
    <row r="38" spans="4:41" x14ac:dyDescent="0.3">
      <c r="D38" t="s">
        <v>85</v>
      </c>
      <c r="E38">
        <v>266</v>
      </c>
      <c r="F38">
        <f>Table2[[#This Row],[Hosts]]+2</f>
        <v>268</v>
      </c>
      <c r="G38" s="10" t="b">
        <v>1</v>
      </c>
      <c r="I38" s="29"/>
      <c r="J38" s="29"/>
      <c r="K38" s="29"/>
      <c r="L38" s="29"/>
      <c r="M38" s="29"/>
      <c r="N38" s="29"/>
      <c r="O38" s="29"/>
      <c r="P38" s="28">
        <v>172</v>
      </c>
      <c r="Q38" s="28">
        <v>24</v>
      </c>
      <c r="R38" s="28">
        <v>0</v>
      </c>
      <c r="S38" s="28">
        <v>0</v>
      </c>
      <c r="T38" s="28">
        <v>0</v>
      </c>
      <c r="U38" s="28">
        <v>0</v>
      </c>
      <c r="V38" s="28">
        <v>0</v>
      </c>
      <c r="W38" s="28">
        <v>0</v>
      </c>
      <c r="X38" s="28">
        <v>0</v>
      </c>
      <c r="Y38" s="23">
        <v>1</v>
      </c>
      <c r="Z38" s="23">
        <v>1</v>
      </c>
      <c r="AA38" s="23">
        <v>1</v>
      </c>
      <c r="AB38" s="23">
        <v>1</v>
      </c>
      <c r="AC38" s="23">
        <v>1</v>
      </c>
      <c r="AD38" s="23">
        <v>1</v>
      </c>
      <c r="AE38" s="23">
        <v>1</v>
      </c>
      <c r="AF38" s="23">
        <v>1</v>
      </c>
      <c r="AG38" s="23">
        <v>1</v>
      </c>
      <c r="AH38" s="23"/>
      <c r="AJ38" s="22" t="s">
        <v>85</v>
      </c>
      <c r="AK38" s="22" t="s">
        <v>138</v>
      </c>
      <c r="AL38" s="22" t="s">
        <v>78</v>
      </c>
      <c r="AM38" s="22" t="s">
        <v>139</v>
      </c>
      <c r="AN38" s="22" t="s">
        <v>140</v>
      </c>
      <c r="AO38" s="5"/>
    </row>
    <row r="39" spans="4:41" x14ac:dyDescent="0.3">
      <c r="D39" t="s">
        <v>90</v>
      </c>
      <c r="E39">
        <v>100</v>
      </c>
      <c r="F39">
        <f>Table2[[#This Row],[Hosts]]+2</f>
        <v>102</v>
      </c>
      <c r="G39" s="10" t="b">
        <v>1</v>
      </c>
      <c r="I39" s="29"/>
      <c r="J39" s="29"/>
      <c r="K39" s="29"/>
      <c r="L39" s="29"/>
      <c r="M39" s="29"/>
      <c r="N39" s="29"/>
      <c r="O39" s="29"/>
      <c r="P39" s="28">
        <v>172</v>
      </c>
      <c r="Q39" s="28">
        <v>24</v>
      </c>
      <c r="R39" s="28">
        <v>0</v>
      </c>
      <c r="S39" s="28">
        <v>0</v>
      </c>
      <c r="T39" s="28">
        <v>0</v>
      </c>
      <c r="U39" s="28">
        <v>0</v>
      </c>
      <c r="V39" s="28">
        <v>0</v>
      </c>
      <c r="W39" s="28">
        <v>0</v>
      </c>
      <c r="X39" s="28">
        <v>0</v>
      </c>
      <c r="Y39" s="28">
        <v>0</v>
      </c>
      <c r="Z39" s="28">
        <v>0</v>
      </c>
      <c r="AA39" s="11">
        <v>1</v>
      </c>
      <c r="AB39" s="11">
        <v>1</v>
      </c>
      <c r="AC39" s="11">
        <v>1</v>
      </c>
      <c r="AD39" s="11">
        <v>1</v>
      </c>
      <c r="AE39" s="11">
        <v>1</v>
      </c>
      <c r="AF39" s="11">
        <v>1</v>
      </c>
      <c r="AG39" s="11">
        <v>1</v>
      </c>
      <c r="AH39" s="11"/>
      <c r="AJ39" s="13" t="s">
        <v>90</v>
      </c>
      <c r="AK39" s="13" t="s">
        <v>141</v>
      </c>
      <c r="AL39" s="13" t="s">
        <v>142</v>
      </c>
      <c r="AM39" s="13" t="s">
        <v>143</v>
      </c>
      <c r="AN39" s="13" t="s">
        <v>144</v>
      </c>
      <c r="AO39" s="5"/>
    </row>
    <row r="40" spans="4:41" x14ac:dyDescent="0.3">
      <c r="D40" t="s">
        <v>94</v>
      </c>
      <c r="E40">
        <v>4</v>
      </c>
      <c r="F40">
        <f>Table2[[#This Row],[Hosts]]+2</f>
        <v>6</v>
      </c>
      <c r="G40" s="10" t="b">
        <v>1</v>
      </c>
      <c r="I40" s="29"/>
      <c r="J40" s="29"/>
      <c r="K40" s="29"/>
      <c r="L40" s="29"/>
      <c r="M40" s="29"/>
      <c r="N40" s="29"/>
      <c r="O40" s="29"/>
      <c r="P40" s="28">
        <v>172</v>
      </c>
      <c r="Q40" s="28">
        <v>24</v>
      </c>
      <c r="R40" s="28">
        <v>0</v>
      </c>
      <c r="S40" s="28">
        <v>0</v>
      </c>
      <c r="T40" s="28">
        <v>0</v>
      </c>
      <c r="U40" s="28">
        <v>0</v>
      </c>
      <c r="V40" s="28">
        <v>0</v>
      </c>
      <c r="W40" s="28">
        <v>0</v>
      </c>
      <c r="X40" s="28">
        <v>0</v>
      </c>
      <c r="Y40" s="28">
        <v>0</v>
      </c>
      <c r="Z40" s="28">
        <v>0</v>
      </c>
      <c r="AA40" s="28">
        <v>0</v>
      </c>
      <c r="AB40" s="28">
        <v>0</v>
      </c>
      <c r="AC40" s="28">
        <v>0</v>
      </c>
      <c r="AD40" s="28">
        <v>0</v>
      </c>
      <c r="AE40" s="15">
        <v>1</v>
      </c>
      <c r="AF40" s="15">
        <v>1</v>
      </c>
      <c r="AG40" s="15">
        <v>1</v>
      </c>
      <c r="AH40" s="15"/>
      <c r="AJ40" s="14" t="s">
        <v>94</v>
      </c>
      <c r="AK40" s="14" t="s">
        <v>145</v>
      </c>
      <c r="AL40" s="14" t="s">
        <v>146</v>
      </c>
      <c r="AM40" s="14" t="s">
        <v>147</v>
      </c>
      <c r="AN40" s="14" t="s">
        <v>148</v>
      </c>
      <c r="AO40" s="5"/>
    </row>
    <row r="41" spans="4:41" x14ac:dyDescent="0.3">
      <c r="D41" t="s">
        <v>95</v>
      </c>
      <c r="E41">
        <v>4</v>
      </c>
      <c r="F41">
        <f>Table2[[#This Row],[Hosts]]+2</f>
        <v>6</v>
      </c>
      <c r="G41" s="10" t="b">
        <v>1</v>
      </c>
      <c r="I41" s="29"/>
      <c r="J41" s="29"/>
      <c r="K41" s="29"/>
      <c r="L41" s="29"/>
      <c r="M41" s="29"/>
      <c r="N41" s="29"/>
      <c r="O41" s="29"/>
      <c r="P41" s="28">
        <v>172</v>
      </c>
      <c r="Q41" s="28">
        <v>24</v>
      </c>
      <c r="R41" s="28">
        <v>0</v>
      </c>
      <c r="S41" s="28">
        <v>0</v>
      </c>
      <c r="T41" s="28">
        <v>0</v>
      </c>
      <c r="U41" s="28">
        <v>0</v>
      </c>
      <c r="V41" s="28">
        <v>0</v>
      </c>
      <c r="W41" s="28">
        <v>0</v>
      </c>
      <c r="X41" s="28">
        <v>0</v>
      </c>
      <c r="Y41" s="28">
        <v>0</v>
      </c>
      <c r="Z41" s="28">
        <v>0</v>
      </c>
      <c r="AA41" s="28">
        <v>0</v>
      </c>
      <c r="AB41" s="28">
        <v>0</v>
      </c>
      <c r="AC41" s="28">
        <v>0</v>
      </c>
      <c r="AD41" s="28">
        <v>0</v>
      </c>
      <c r="AE41" s="8">
        <v>1</v>
      </c>
      <c r="AF41" s="8">
        <v>1</v>
      </c>
      <c r="AG41" s="8">
        <v>1</v>
      </c>
      <c r="AH41" s="8"/>
      <c r="AJ41" s="9" t="s">
        <v>95</v>
      </c>
      <c r="AK41" s="9" t="s">
        <v>149</v>
      </c>
      <c r="AL41" s="9" t="s">
        <v>146</v>
      </c>
      <c r="AM41" s="9" t="s">
        <v>150</v>
      </c>
      <c r="AN41" s="9" t="s">
        <v>151</v>
      </c>
      <c r="AO41" s="5"/>
    </row>
    <row r="42" spans="4:41" x14ac:dyDescent="0.3">
      <c r="D42" t="s">
        <v>96</v>
      </c>
      <c r="E42">
        <v>4</v>
      </c>
      <c r="F42">
        <f>Table2[[#This Row],[Hosts]]+2</f>
        <v>6</v>
      </c>
      <c r="G42" s="10" t="b">
        <v>1</v>
      </c>
      <c r="I42" s="29"/>
      <c r="J42" s="29"/>
      <c r="K42" s="29"/>
      <c r="L42" s="29"/>
      <c r="M42" s="29"/>
      <c r="N42" s="29"/>
      <c r="O42" s="29"/>
      <c r="P42" s="28">
        <v>172</v>
      </c>
      <c r="Q42" s="28">
        <v>24</v>
      </c>
      <c r="R42" s="28">
        <v>0</v>
      </c>
      <c r="S42" s="28">
        <v>0</v>
      </c>
      <c r="T42" s="28">
        <v>0</v>
      </c>
      <c r="U42" s="28">
        <v>0</v>
      </c>
      <c r="V42" s="28">
        <v>0</v>
      </c>
      <c r="W42" s="28">
        <v>0</v>
      </c>
      <c r="X42" s="28">
        <v>0</v>
      </c>
      <c r="Y42" s="28">
        <v>0</v>
      </c>
      <c r="Z42" s="28">
        <v>0</v>
      </c>
      <c r="AA42" s="28">
        <v>0</v>
      </c>
      <c r="AB42" s="28">
        <v>0</v>
      </c>
      <c r="AC42" s="28">
        <v>0</v>
      </c>
      <c r="AD42" s="28">
        <v>0</v>
      </c>
      <c r="AE42" s="17">
        <v>1</v>
      </c>
      <c r="AF42" s="17">
        <v>1</v>
      </c>
      <c r="AG42" s="17">
        <v>1</v>
      </c>
      <c r="AH42" s="17"/>
      <c r="AJ42" s="16" t="s">
        <v>96</v>
      </c>
      <c r="AK42" s="16" t="s">
        <v>152</v>
      </c>
      <c r="AL42" s="16" t="s">
        <v>146</v>
      </c>
      <c r="AM42" s="16" t="s">
        <v>153</v>
      </c>
      <c r="AN42" s="16" t="s">
        <v>154</v>
      </c>
      <c r="AO42" s="5"/>
    </row>
    <row r="43" spans="4:41" x14ac:dyDescent="0.3">
      <c r="D43" t="s">
        <v>97</v>
      </c>
      <c r="E43">
        <v>4</v>
      </c>
      <c r="F43">
        <f>Table2[[#This Row],[Hosts]]+2</f>
        <v>6</v>
      </c>
      <c r="G43" s="10" t="b">
        <v>1</v>
      </c>
      <c r="I43" s="29"/>
      <c r="J43" s="29"/>
      <c r="K43" s="29"/>
      <c r="L43" s="29"/>
      <c r="M43" s="29"/>
      <c r="N43" s="29"/>
      <c r="O43" s="29"/>
      <c r="P43" s="28">
        <v>172</v>
      </c>
      <c r="Q43" s="28">
        <v>24</v>
      </c>
      <c r="R43" s="28">
        <v>0</v>
      </c>
      <c r="S43" s="28">
        <v>0</v>
      </c>
      <c r="T43" s="28">
        <v>0</v>
      </c>
      <c r="U43" s="28">
        <v>0</v>
      </c>
      <c r="V43" s="28">
        <v>0</v>
      </c>
      <c r="W43" s="28">
        <v>0</v>
      </c>
      <c r="X43" s="28">
        <v>0</v>
      </c>
      <c r="Y43" s="28">
        <v>0</v>
      </c>
      <c r="Z43" s="28">
        <v>0</v>
      </c>
      <c r="AA43" s="28">
        <v>0</v>
      </c>
      <c r="AB43" s="28">
        <v>0</v>
      </c>
      <c r="AC43" s="28">
        <v>0</v>
      </c>
      <c r="AD43" s="28">
        <v>0</v>
      </c>
      <c r="AE43" s="19">
        <v>1</v>
      </c>
      <c r="AF43" s="19">
        <v>1</v>
      </c>
      <c r="AG43" s="19">
        <v>1</v>
      </c>
      <c r="AH43" s="19"/>
      <c r="AJ43" s="18" t="s">
        <v>97</v>
      </c>
      <c r="AK43" s="18" t="s">
        <v>155</v>
      </c>
      <c r="AL43" s="18" t="s">
        <v>146</v>
      </c>
      <c r="AM43" s="18" t="s">
        <v>156</v>
      </c>
      <c r="AN43" s="18" t="s">
        <v>157</v>
      </c>
      <c r="AO43" s="5"/>
    </row>
    <row r="44" spans="4:41" x14ac:dyDescent="0.3">
      <c r="D44" t="s">
        <v>98</v>
      </c>
      <c r="E44">
        <v>4</v>
      </c>
      <c r="F44">
        <f>Table2[[#This Row],[Hosts]]+2</f>
        <v>6</v>
      </c>
      <c r="G44" s="10" t="b">
        <v>1</v>
      </c>
      <c r="I44" s="29"/>
      <c r="J44" s="29"/>
      <c r="K44" s="29"/>
      <c r="L44" s="29"/>
      <c r="M44" s="29"/>
      <c r="N44" s="29"/>
      <c r="O44" s="29"/>
      <c r="P44" s="28">
        <v>172</v>
      </c>
      <c r="Q44" s="28">
        <v>24</v>
      </c>
      <c r="R44" s="28">
        <v>0</v>
      </c>
      <c r="S44" s="28">
        <v>0</v>
      </c>
      <c r="T44" s="28">
        <v>0</v>
      </c>
      <c r="U44" s="28">
        <v>0</v>
      </c>
      <c r="V44" s="28">
        <v>0</v>
      </c>
      <c r="W44" s="28">
        <v>0</v>
      </c>
      <c r="X44" s="28">
        <v>0</v>
      </c>
      <c r="Y44" s="28">
        <v>0</v>
      </c>
      <c r="Z44" s="28">
        <v>0</v>
      </c>
      <c r="AA44" s="28">
        <v>0</v>
      </c>
      <c r="AB44" s="28">
        <v>0</v>
      </c>
      <c r="AC44" s="28">
        <v>0</v>
      </c>
      <c r="AD44" s="28">
        <v>0</v>
      </c>
      <c r="AE44" s="28">
        <v>1</v>
      </c>
      <c r="AF44" s="28">
        <v>1</v>
      </c>
      <c r="AG44" s="28">
        <v>1</v>
      </c>
      <c r="AH44" s="28"/>
      <c r="AJ44" s="5" t="s">
        <v>98</v>
      </c>
      <c r="AK44" s="5" t="s">
        <v>158</v>
      </c>
      <c r="AL44" s="5" t="s">
        <v>146</v>
      </c>
      <c r="AM44" s="5" t="s">
        <v>159</v>
      </c>
      <c r="AN44" s="5" t="s">
        <v>160</v>
      </c>
      <c r="AO44" s="5"/>
    </row>
    <row r="45" spans="4:41" x14ac:dyDescent="0.3">
      <c r="D45" t="s">
        <v>99</v>
      </c>
      <c r="E45">
        <v>4</v>
      </c>
      <c r="F45">
        <f>Table2[[#This Row],[Hosts]]+2</f>
        <v>6</v>
      </c>
      <c r="G45" s="10" t="b">
        <v>1</v>
      </c>
      <c r="P45" s="28">
        <v>172</v>
      </c>
      <c r="Q45" s="28">
        <v>24</v>
      </c>
      <c r="R45" s="28">
        <v>0</v>
      </c>
      <c r="S45" s="28">
        <v>0</v>
      </c>
      <c r="T45" s="28">
        <v>0</v>
      </c>
      <c r="U45" s="28">
        <v>0</v>
      </c>
      <c r="V45" s="28">
        <v>0</v>
      </c>
      <c r="W45" s="28">
        <v>0</v>
      </c>
      <c r="X45" s="28">
        <v>0</v>
      </c>
      <c r="Y45" s="28">
        <v>0</v>
      </c>
      <c r="Z45" s="28">
        <v>0</v>
      </c>
      <c r="AA45" s="28">
        <v>0</v>
      </c>
      <c r="AB45" s="28">
        <v>0</v>
      </c>
      <c r="AC45" s="28">
        <v>0</v>
      </c>
      <c r="AD45" s="28">
        <v>0</v>
      </c>
      <c r="AE45" s="28">
        <v>1</v>
      </c>
      <c r="AF45" s="28">
        <v>1</v>
      </c>
      <c r="AG45" s="28">
        <v>1</v>
      </c>
      <c r="AH45" s="28"/>
      <c r="AJ45" s="5" t="s">
        <v>99</v>
      </c>
      <c r="AK45" s="5" t="s">
        <v>161</v>
      </c>
      <c r="AL45" s="5" t="s">
        <v>146</v>
      </c>
      <c r="AM45" s="5" t="s">
        <v>162</v>
      </c>
      <c r="AN45" s="5" t="s">
        <v>163</v>
      </c>
      <c r="AO45" s="5"/>
    </row>
    <row r="46" spans="4:41" x14ac:dyDescent="0.3">
      <c r="D46" t="s">
        <v>100</v>
      </c>
      <c r="E46">
        <v>4</v>
      </c>
      <c r="F46">
        <f>Table2[[#This Row],[Hosts]]+2</f>
        <v>6</v>
      </c>
      <c r="G46" s="10" t="b">
        <v>1</v>
      </c>
      <c r="P46" s="28">
        <v>172</v>
      </c>
      <c r="Q46" s="28">
        <v>24</v>
      </c>
      <c r="R46" s="28">
        <v>0</v>
      </c>
      <c r="S46" s="28">
        <v>0</v>
      </c>
      <c r="T46" s="28">
        <v>0</v>
      </c>
      <c r="U46" s="28">
        <v>0</v>
      </c>
      <c r="V46" s="28">
        <v>0</v>
      </c>
      <c r="W46" s="28">
        <v>0</v>
      </c>
      <c r="X46" s="28">
        <v>0</v>
      </c>
      <c r="Y46" s="28">
        <v>0</v>
      </c>
      <c r="Z46" s="28">
        <v>0</v>
      </c>
      <c r="AA46" s="28">
        <v>0</v>
      </c>
      <c r="AB46" s="28">
        <v>0</v>
      </c>
      <c r="AC46" s="28">
        <v>0</v>
      </c>
      <c r="AD46" s="28">
        <v>0</v>
      </c>
      <c r="AE46" s="28">
        <v>1</v>
      </c>
      <c r="AF46" s="28">
        <v>1</v>
      </c>
      <c r="AG46" s="28">
        <v>1</v>
      </c>
      <c r="AH46" s="28"/>
      <c r="AJ46" s="5" t="s">
        <v>100</v>
      </c>
      <c r="AK46" s="5" t="s">
        <v>164</v>
      </c>
      <c r="AL46" s="5" t="s">
        <v>146</v>
      </c>
      <c r="AM46" s="5" t="s">
        <v>165</v>
      </c>
      <c r="AN46" s="5" t="s">
        <v>166</v>
      </c>
      <c r="AO46" s="5"/>
    </row>
    <row r="47" spans="4:41" x14ac:dyDescent="0.3">
      <c r="D47" t="s">
        <v>101</v>
      </c>
      <c r="E47">
        <v>4</v>
      </c>
      <c r="F47">
        <f>Table2[[#This Row],[Hosts]]+2</f>
        <v>6</v>
      </c>
      <c r="G47" s="10" t="b">
        <v>1</v>
      </c>
      <c r="P47" s="28">
        <v>172</v>
      </c>
      <c r="Q47" s="28">
        <v>24</v>
      </c>
      <c r="R47" s="28">
        <v>0</v>
      </c>
      <c r="S47" s="28">
        <v>0</v>
      </c>
      <c r="T47" s="28">
        <v>0</v>
      </c>
      <c r="U47" s="28">
        <v>0</v>
      </c>
      <c r="V47" s="28">
        <v>0</v>
      </c>
      <c r="W47" s="28">
        <v>0</v>
      </c>
      <c r="X47" s="28">
        <v>0</v>
      </c>
      <c r="Y47" s="28">
        <v>0</v>
      </c>
      <c r="Z47" s="28">
        <v>0</v>
      </c>
      <c r="AA47" s="28">
        <v>0</v>
      </c>
      <c r="AB47" s="28">
        <v>0</v>
      </c>
      <c r="AC47" s="28">
        <v>0</v>
      </c>
      <c r="AD47" s="28">
        <v>0</v>
      </c>
      <c r="AE47" s="28">
        <v>1</v>
      </c>
      <c r="AF47" s="28">
        <v>1</v>
      </c>
      <c r="AG47" s="28">
        <v>1</v>
      </c>
      <c r="AH47" s="28"/>
      <c r="AJ47" s="5" t="s">
        <v>101</v>
      </c>
      <c r="AK47" s="5" t="s">
        <v>167</v>
      </c>
      <c r="AL47" s="5" t="s">
        <v>146</v>
      </c>
      <c r="AM47" s="5" t="s">
        <v>168</v>
      </c>
      <c r="AN47" s="5" t="s">
        <v>169</v>
      </c>
      <c r="AO47" s="5"/>
    </row>
    <row r="48" spans="4:41" x14ac:dyDescent="0.3">
      <c r="D48" t="s">
        <v>102</v>
      </c>
      <c r="E48">
        <v>4</v>
      </c>
      <c r="F48">
        <f>Table2[[#This Row],[Hosts]]+2</f>
        <v>6</v>
      </c>
      <c r="G48" s="10" t="b">
        <v>1</v>
      </c>
      <c r="P48" s="28">
        <v>172</v>
      </c>
      <c r="Q48" s="28">
        <v>24</v>
      </c>
      <c r="R48" s="28">
        <v>0</v>
      </c>
      <c r="S48" s="28">
        <v>0</v>
      </c>
      <c r="T48" s="28">
        <v>0</v>
      </c>
      <c r="U48" s="28">
        <v>0</v>
      </c>
      <c r="V48" s="28">
        <v>0</v>
      </c>
      <c r="W48" s="28">
        <v>0</v>
      </c>
      <c r="X48" s="28">
        <v>0</v>
      </c>
      <c r="Y48" s="28">
        <v>0</v>
      </c>
      <c r="Z48" s="28">
        <v>0</v>
      </c>
      <c r="AA48" s="28">
        <v>0</v>
      </c>
      <c r="AB48" s="28">
        <v>0</v>
      </c>
      <c r="AC48" s="28">
        <v>0</v>
      </c>
      <c r="AD48" s="28">
        <v>0</v>
      </c>
      <c r="AE48" s="28">
        <v>1</v>
      </c>
      <c r="AF48" s="28">
        <v>1</v>
      </c>
      <c r="AG48" s="28">
        <v>1</v>
      </c>
      <c r="AH48" s="28"/>
      <c r="AJ48" s="5" t="s">
        <v>102</v>
      </c>
      <c r="AK48" s="5" t="s">
        <v>170</v>
      </c>
      <c r="AL48" s="5" t="s">
        <v>146</v>
      </c>
      <c r="AM48" s="5" t="s">
        <v>171</v>
      </c>
      <c r="AN48" s="5" t="s">
        <v>172</v>
      </c>
    </row>
    <row r="49" spans="4:40" x14ac:dyDescent="0.3">
      <c r="D49" t="s">
        <v>103</v>
      </c>
      <c r="E49">
        <v>4</v>
      </c>
      <c r="F49">
        <f>Table2[[#This Row],[Hosts]]+2</f>
        <v>6</v>
      </c>
      <c r="G49" s="10" t="b">
        <v>1</v>
      </c>
      <c r="P49" s="28">
        <v>172</v>
      </c>
      <c r="Q49" s="28">
        <v>24</v>
      </c>
      <c r="R49" s="28">
        <v>0</v>
      </c>
      <c r="S49" s="28">
        <v>0</v>
      </c>
      <c r="T49" s="28">
        <v>0</v>
      </c>
      <c r="U49" s="28">
        <v>0</v>
      </c>
      <c r="V49" s="28">
        <v>0</v>
      </c>
      <c r="W49" s="28">
        <v>0</v>
      </c>
      <c r="X49" s="28">
        <v>0</v>
      </c>
      <c r="Y49" s="28">
        <v>0</v>
      </c>
      <c r="Z49" s="28">
        <v>0</v>
      </c>
      <c r="AA49" s="28">
        <v>0</v>
      </c>
      <c r="AB49" s="28">
        <v>0</v>
      </c>
      <c r="AC49" s="28">
        <v>0</v>
      </c>
      <c r="AD49" s="28">
        <v>0</v>
      </c>
      <c r="AE49" s="28">
        <v>1</v>
      </c>
      <c r="AF49" s="28">
        <v>1</v>
      </c>
      <c r="AG49" s="28">
        <v>1</v>
      </c>
      <c r="AH49" s="28"/>
      <c r="AJ49" s="5" t="s">
        <v>103</v>
      </c>
      <c r="AK49" s="5" t="s">
        <v>173</v>
      </c>
      <c r="AL49" s="5" t="s">
        <v>146</v>
      </c>
      <c r="AM49" s="5" t="s">
        <v>174</v>
      </c>
      <c r="AN49" s="5" t="s">
        <v>175</v>
      </c>
    </row>
    <row r="50" spans="4:40" x14ac:dyDescent="0.3">
      <c r="D50" t="s">
        <v>104</v>
      </c>
      <c r="E50">
        <v>4</v>
      </c>
      <c r="F50">
        <f>Table2[[#This Row],[Hosts]]+2</f>
        <v>6</v>
      </c>
      <c r="G50" s="10" t="b">
        <v>1</v>
      </c>
      <c r="P50" s="28">
        <v>172</v>
      </c>
      <c r="Q50" s="28">
        <v>24</v>
      </c>
      <c r="R50" s="28">
        <v>0</v>
      </c>
      <c r="S50" s="28">
        <v>0</v>
      </c>
      <c r="T50" s="28">
        <v>0</v>
      </c>
      <c r="U50" s="28">
        <v>0</v>
      </c>
      <c r="V50" s="28">
        <v>0</v>
      </c>
      <c r="W50" s="28">
        <v>0</v>
      </c>
      <c r="X50" s="28">
        <v>0</v>
      </c>
      <c r="Y50" s="28">
        <v>0</v>
      </c>
      <c r="Z50" s="28">
        <v>0</v>
      </c>
      <c r="AA50" s="28">
        <v>0</v>
      </c>
      <c r="AB50" s="28">
        <v>0</v>
      </c>
      <c r="AC50" s="28">
        <v>0</v>
      </c>
      <c r="AD50" s="28">
        <v>0</v>
      </c>
      <c r="AE50" s="28">
        <v>1</v>
      </c>
      <c r="AF50" s="28">
        <v>1</v>
      </c>
      <c r="AG50" s="28">
        <v>1</v>
      </c>
      <c r="AH50" s="28"/>
      <c r="AJ50" s="5" t="s">
        <v>104</v>
      </c>
      <c r="AK50" s="5" t="s">
        <v>176</v>
      </c>
      <c r="AL50" s="5" t="s">
        <v>146</v>
      </c>
      <c r="AM50" s="5" t="s">
        <v>177</v>
      </c>
      <c r="AN50" s="5" t="s">
        <v>178</v>
      </c>
    </row>
    <row r="51" spans="4:40" x14ac:dyDescent="0.3">
      <c r="D51" t="s">
        <v>105</v>
      </c>
      <c r="E51">
        <v>4</v>
      </c>
      <c r="F51">
        <f>Table2[[#This Row],[Hosts]]+2</f>
        <v>6</v>
      </c>
      <c r="G51" s="10" t="b">
        <v>1</v>
      </c>
      <c r="P51" s="28">
        <v>172</v>
      </c>
      <c r="Q51" s="28">
        <v>24</v>
      </c>
      <c r="R51" s="28">
        <v>0</v>
      </c>
      <c r="S51" s="28">
        <v>0</v>
      </c>
      <c r="T51" s="28">
        <v>0</v>
      </c>
      <c r="U51" s="28">
        <v>0</v>
      </c>
      <c r="V51" s="28">
        <v>0</v>
      </c>
      <c r="W51" s="28">
        <v>0</v>
      </c>
      <c r="X51" s="28">
        <v>0</v>
      </c>
      <c r="Y51" s="28">
        <v>0</v>
      </c>
      <c r="Z51" s="28">
        <v>0</v>
      </c>
      <c r="AA51" s="28">
        <v>0</v>
      </c>
      <c r="AB51" s="28">
        <v>0</v>
      </c>
      <c r="AC51" s="28">
        <v>0</v>
      </c>
      <c r="AD51" s="28">
        <v>0</v>
      </c>
      <c r="AE51" s="28">
        <v>1</v>
      </c>
      <c r="AF51" s="28">
        <v>1</v>
      </c>
      <c r="AG51" s="28">
        <v>1</v>
      </c>
      <c r="AH51" s="28"/>
      <c r="AJ51" s="5" t="s">
        <v>105</v>
      </c>
      <c r="AK51" s="5" t="s">
        <v>179</v>
      </c>
      <c r="AL51" s="5" t="s">
        <v>146</v>
      </c>
      <c r="AM51" s="5" t="s">
        <v>180</v>
      </c>
      <c r="AN51" s="5" t="s">
        <v>181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Sosa</dc:creator>
  <cp:lastModifiedBy>Mario Sosa</cp:lastModifiedBy>
  <dcterms:created xsi:type="dcterms:W3CDTF">2026-04-06T21:53:49Z</dcterms:created>
  <dcterms:modified xsi:type="dcterms:W3CDTF">2026-04-08T04:42:32Z</dcterms:modified>
</cp:coreProperties>
</file>